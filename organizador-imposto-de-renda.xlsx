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a7f7425d5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tular" sheetId="1" r:id="R4adb602a3478475c"/>
    <x:sheet xmlns:r="http://schemas.openxmlformats.org/officeDocument/2006/relationships" name="Informes" sheetId="2" r:id="Re473c917ab12439b"/>
    <x:sheet xmlns:r="http://schemas.openxmlformats.org/officeDocument/2006/relationships" name="Entradas" sheetId="3" r:id="R849793efd22640d6"/>
    <x:sheet xmlns:r="http://schemas.openxmlformats.org/officeDocument/2006/relationships" name="Apoio" sheetId="4" r:id="Ra6d3b71045264a2b"/>
  </x:sheets>
  <x:definedNames>
    <x:definedName name="ano_base">'Titular'!$E$8</x:definedName>
    <x:definedName name="nome_titular">'Titular'!$E$9</x:definedName>
    <x:definedName name="cpf_titular">'Titular'!$E$10</x:definedName>
    <x:definedName name="lista_bancos">'Apoio'!$B$8:$B$10</x:definedName>
    <x:definedName name="lista_documentos">'Apoio'!$D$8:$D$9</x:definedName>
    <x:definedName name="lista_categorias">'Apoio'!$F$8:$F$13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&quot;R$ &quot;#,##0.00;(&quot;R$ &quot;#,##0.00);&quot;R$ -&quot;"/>
  </x:numFmts>
  <x:fonts count="10">
    <x:font>
      <x:sz val="11"/>
      <x:name val="Carlito"/>
    </x:font>
    <x:font>
      <x:sz val="11"/>
      <x:color rgb="FF252842"/>
      <x:name val="Calibri"/>
    </x:font>
    <x:font>
      <x:b/>
      <x:sz val="12"/>
      <x:color rgb="FFFFFFFF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  <x:font>
      <x:sz val="11"/>
      <x:color rgb="FF5B4FC4"/>
      <x:name val="Calibri"/>
    </x:font>
    <x:font>
      <x:b/>
      <x:sz val="11"/>
      <x:color rgb="FF5B4FC4"/>
      <x:name val="Calibri"/>
    </x:font>
    <x:font>
      <x:sz val="10"/>
      <x:color rgb="FF252842"/>
      <x:name val="Calibri"/>
    </x:font>
    <x:font>
      <x:sz val="11"/>
      <x:color rgb="FF2458B3"/>
      <x:name val="Calibri"/>
    </x:font>
    <x:font>
      <x:b/>
      <x:sz val="11"/>
      <x:color rgb="FF252842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222848"/>
      </x:patternFill>
    </x:fill>
    <x:fill>
      <x:patternFill patternType="solid">
        <x:fgColor rgb="FF5B4FC4"/>
      </x:patternFill>
    </x:fill>
    <x:fill>
      <x:patternFill patternType="solid">
        <x:fgColor rgb="FFEEF0F5"/>
      </x:patternFill>
    </x:fill>
    <x:fill>
      <x:patternFill patternType="solid">
        <x:fgColor rgb="FFFFF3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201" fontId="8" fillId="5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/>
    <x:xf numFmtId="202" fontId="1" fillId="0" borderId="0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2F20"/>
      </x:font>
      <x:fill>
        <x:patternFill patternType="solid">
          <x:bgColor rgb="FFFCE5DD"/>
        </x:patternFill>
      </x:fill>
    </x:dxf>
    <x:dxf>
      <x:font>
        <x:color rgb="FF9C2F20"/>
      </x:font>
      <x:fill>
        <x:patternFill patternType="solid">
          <x:bgColor rgb="FFFCE5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d8f8133d44141" /><Relationship Type="http://schemas.openxmlformats.org/officeDocument/2006/relationships/theme" Target="/xl/theme/theme1.xml" Id="R3cc05c00b8474952" /><Relationship Type="http://schemas.openxmlformats.org/officeDocument/2006/relationships/sharedStrings" Target="/xl/sharedStrings.xml" Id="Rc2571837a98c419e" /><Relationship Type="http://schemas.openxmlformats.org/officeDocument/2006/relationships/worksheet" Target="/xl/worksheets/sheet1.xml" Id="R4adb602a3478475c" /><Relationship Type="http://schemas.openxmlformats.org/officeDocument/2006/relationships/worksheet" Target="/xl/worksheets/sheet2.xml" Id="Re473c917ab12439b" /><Relationship Type="http://schemas.openxmlformats.org/officeDocument/2006/relationships/worksheet" Target="/xl/worksheets/sheet3.xml" Id="R849793efd22640d6" /><Relationship Type="http://schemas.openxmlformats.org/officeDocument/2006/relationships/worksheet" Target="/xl/worksheets/sheet4.xml" Id="Ra6d3b71045264a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www.gov.br/receitafederal/pt-br/assuntos/meu-imposto-de-renda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hyperlink" Target="https://www.gov.br/receitafederal/pt-br/assuntos/meu-imposto-de-renda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B4FC4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hidden="0" customWidth="1"/>
    <col min="2" max="2" width="28" hidden="0" customWidth="1"/>
    <col min="3" max="3" width="11" hidden="0" customWidth="1"/>
    <col min="4" max="4" width="11" hidden="0" customWidth="1"/>
    <col min="5" max="5" width="29" hidden="0" customWidth="1"/>
    <col min="6" max="6" width="3" hidden="0" customWidth="1"/>
    <col min="7" max="7" width="29" hidden="0" customWidth="1"/>
    <col min="8" max="8" width="13" hidden="0" customWidth="1"/>
    <col min="9" max="9" width="13" hidden="0" customWidth="1"/>
    <col min="10" max="10" width="13" hidden="0" customWidth="1"/>
  </cols>
  <sheetData>
    <row r="1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4" customHeight="1">
      <c r="A2" s="1"/>
      <c r="B2" s="4" t="str">
        <v>JSR IR — Organizador de informações</v>
      </c>
      <c r="C2" s="4"/>
      <c r="D2" s="4"/>
      <c r="E2" s="4"/>
      <c r="F2" s="4"/>
      <c r="G2" s="4"/>
      <c r="H2" s="4"/>
      <c r="I2" s="4"/>
      <c r="J2" s="4"/>
    </row>
    <row r="3" ht="24" customHeight="1">
      <c r="A3" s="1"/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1"/>
      <c r="B4" s="13" t="str">
        <v>Modelo didático com dados fictícios. Amarelo: entrada. Cinza: cálculo.</v>
      </c>
      <c r="C4" s="13"/>
      <c r="D4" s="13"/>
      <c r="E4" s="13"/>
      <c r="F4" s="13"/>
      <c r="G4" s="13"/>
      <c r="H4" s="13"/>
      <c r="I4" s="13"/>
      <c r="J4" s="13"/>
    </row>
    <row r="5" ht="24" customHeight="1">
      <c r="A5" s="1"/>
      <c r="B5" s="8" t="str">
        <v>01  TITULAR</v>
      </c>
      <c r="C5" s="8"/>
      <c r="D5" s="12" t="str">
        <v>02  INFORMES</v>
      </c>
      <c r="E5" s="12"/>
      <c r="F5" s="12" t="str">
        <v>03  ENTRADAS</v>
      </c>
      <c r="G5" s="12"/>
      <c r="H5" s="12" t="str">
        <v>04  AJUDA E LISTAS</v>
      </c>
      <c r="I5" s="12"/>
      <c r="J5" s="12"/>
    </row>
    <row r="6" ht="24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24" customHeight="1">
      <c r="A7" s="1"/>
      <c r="B7" s="4" t="str">
        <v>Dados do titular</v>
      </c>
      <c r="C7" s="4"/>
      <c r="D7" s="4"/>
      <c r="E7" s="4"/>
      <c r="F7" s="1"/>
      <c r="G7" s="4" t="str">
        <v>Resumo do ano-base</v>
      </c>
      <c r="H7" s="4"/>
      <c r="I7" s="4"/>
      <c r="J7" s="4"/>
    </row>
    <row r="8" ht="24" customHeight="1">
      <c r="A8" s="1"/>
      <c r="B8" s="1" t="str">
        <v>Ano-base</v>
      </c>
      <c r="C8" s="1"/>
      <c r="D8" s="1"/>
      <c r="E8" s="15" t="n">
        <v>2025</v>
      </c>
      <c r="F8" s="1"/>
      <c r="G8" s="1" t="str">
        <v>Ano-base</v>
      </c>
      <c r="H8" s="9" t="n">
        <f>ano_base</f>
        <v>2025</v>
      </c>
      <c r="I8" s="9"/>
      <c r="J8" s="9"/>
    </row>
    <row r="9" ht="24" customHeight="1">
      <c r="A9" s="1"/>
      <c r="B9" s="1" t="str">
        <v>Nome completo</v>
      </c>
      <c r="C9" s="1"/>
      <c r="D9" s="1"/>
      <c r="E9" s="15" t="str">
        <v>Contribuinte Exemplo</v>
      </c>
      <c r="F9" s="1"/>
      <c r="G9" s="1" t="str">
        <v>Entradas registradas</v>
      </c>
      <c r="H9" s="21" t="n">
        <f>SUMIFS('Entradas'!$F$10:$F$33,'Entradas'!$B$10:$B$33,"&gt;="&amp;DATE(ano_base,1,1),'Entradas'!$B$10:$B$33,"&lt;"&amp;DATE(ano_base+1,1,1))</f>
        <v>44000</v>
      </c>
      <c r="I9" s="21"/>
      <c r="J9" s="21"/>
    </row>
    <row r="10" ht="24" customHeight="1">
      <c r="A10" s="1"/>
      <c r="B10" s="1" t="str">
        <v>CPF (somente números)</v>
      </c>
      <c r="C10" s="1"/>
      <c r="D10" s="1"/>
      <c r="E10" s="16"/>
      <c r="F10" s="1"/>
      <c r="G10" s="1" t="str">
        <v>Saldo bancário anterior</v>
      </c>
      <c r="H10" s="21" t="n">
        <f>SUM('Informes'!F10:F19)</f>
        <v>18200</v>
      </c>
      <c r="I10" s="21"/>
      <c r="J10" s="21"/>
    </row>
    <row r="11" ht="24" customHeight="1">
      <c r="A11" s="1"/>
      <c r="B11" s="1" t="str">
        <v>Nascimento</v>
      </c>
      <c r="C11" s="1"/>
      <c r="D11" s="1"/>
      <c r="E11" s="17"/>
      <c r="F11" s="1"/>
      <c r="G11" s="1" t="str">
        <v>Saldo bancário atual</v>
      </c>
      <c r="H11" s="21" t="n">
        <f>SUM('Informes'!G10:G19)</f>
        <v>24200</v>
      </c>
      <c r="I11" s="21"/>
      <c r="J11" s="21"/>
    </row>
    <row r="12" ht="24" customHeight="1">
      <c r="A12" s="1"/>
      <c r="B12" s="1" t="str">
        <v>E-mail</v>
      </c>
      <c r="C12" s="1"/>
      <c r="D12" s="1"/>
      <c r="E12" s="15" t="str">
        <v>exemplo@example.com</v>
      </c>
      <c r="F12" s="1"/>
      <c r="G12" s="1" t="str">
        <v>Informes cadastrados</v>
      </c>
      <c r="H12" s="9" t="n">
        <f>COUNTA('Informes'!B10:B19)</f>
        <v>3</v>
      </c>
      <c r="I12" s="9"/>
      <c r="J12" s="9"/>
    </row>
    <row r="13" ht="24" customHeight="1">
      <c r="A13" s="1"/>
      <c r="B13" s="1" t="str">
        <v>Telefone</v>
      </c>
      <c r="C13" s="1"/>
      <c r="D13" s="1"/>
      <c r="E13" s="16"/>
      <c r="F13" s="1"/>
      <c r="G13" s="1" t="str">
        <v>Comprovantes pendentes</v>
      </c>
      <c r="H13" s="9" t="n">
        <f>COUNTIFS('Informes'!B10:B19,"&lt;&gt;",'Informes'!H10:H19,"&lt;&gt;Recebido")+COUNTIFS('Entradas'!B10:B33,"&lt;&gt;",'Entradas'!G10:G33,"&lt;&gt;Recebido")</f>
        <v>2</v>
      </c>
      <c r="I13" s="9"/>
      <c r="J13" s="9"/>
    </row>
    <row r="14" ht="24" customHeight="1">
      <c r="A14" s="1"/>
      <c r="B14" s="1" t="str">
        <v>Endereço</v>
      </c>
      <c r="C14" s="1"/>
      <c r="D14" s="1"/>
      <c r="E14" s="15" t="str">
        <v>Rua Exemplo, sem número</v>
      </c>
      <c r="F14" s="1"/>
      <c r="G14" s="1" t="str">
        <v>Registros para revisar</v>
      </c>
      <c r="H14" s="9" t="n">
        <f>COUNTIFS('Informes'!J10:J19,"Revisar dados")+COUNTIFS('Informes'!J10:J19,"Revisar documento")+COUNTIFS('Informes'!J10:J19,"Revisar referência")+COUNTIFS('Informes'!J10:J19,"Revisar duplicidade")+COUNTIFS('Informes'!J10:J19,"Revisar ano-base")+COUNTIFS('Entradas'!J10:J33,"Revisar dados")+COUNTIFS('Entradas'!J10:J33,"Revisar documento")+COUNTIFS('Entradas'!J10:J33,"Revisar referência")+COUNTIFS('Entradas'!J10:J33,"Revisar duplicidade")+COUNTIFS('Entradas'!J10:J33,"Revisar ano-base")</f>
        <v>2</v>
      </c>
      <c r="I14" s="9"/>
      <c r="J14" s="9"/>
    </row>
    <row r="15" ht="24" customHeight="1">
      <c r="A15" s="1"/>
      <c r="B15" s="1" t="str">
        <v>Cidade / UF</v>
      </c>
      <c r="C15" s="1"/>
      <c r="D15" s="1"/>
      <c r="E15" s="15" t="str">
        <v>Cidade Exemplo / XX</v>
      </c>
      <c r="F15" s="1"/>
      <c r="G15" s="1"/>
      <c r="H15" s="1"/>
      <c r="I15" s="1"/>
      <c r="J15" s="1"/>
    </row>
    <row r="16" ht="24" customHeight="1">
      <c r="A16" s="1"/>
      <c r="B16" s="1" t="str">
        <v>CEP</v>
      </c>
      <c r="C16" s="1"/>
      <c r="D16" s="1"/>
      <c r="E16" s="16"/>
      <c r="F16" s="1"/>
      <c r="G16" s="20" t="str">
        <v>Saldos não são renda. O total de entradas é um controle de recebimentos, sem classificação tributária automática.</v>
      </c>
      <c r="H16" s="20"/>
      <c r="I16" s="20"/>
      <c r="J16" s="20"/>
    </row>
    <row r="17" ht="24" customHeight="1">
      <c r="A17" s="1"/>
      <c r="B17" s="1"/>
      <c r="C17" s="1"/>
      <c r="D17" s="1"/>
      <c r="E17" s="1"/>
      <c r="F17" s="1"/>
      <c r="G17" s="20"/>
      <c r="H17" s="20"/>
      <c r="I17" s="20"/>
      <c r="J17" s="20"/>
    </row>
    <row r="18" ht="24" customHeight="1">
      <c r="A18" s="1"/>
      <c r="B18" s="1" t="str">
        <v>Exercício de referência</v>
      </c>
      <c r="C18" s="1"/>
      <c r="D18" s="1"/>
      <c r="E18" s="18" t="n">
        <f>ano_base+1</f>
        <v>2026</v>
      </c>
      <c r="F18" s="1"/>
      <c r="G18" s="1"/>
      <c r="H18" s="1"/>
      <c r="I18" s="1"/>
      <c r="J18" s="1"/>
    </row>
    <row r="19" ht="24" customHeight="1">
      <c r="A19" s="1"/>
      <c r="B19" s="1" t="str">
        <v>Formato do CPF</v>
      </c>
      <c r="C19" s="1"/>
      <c r="D19" s="1"/>
      <c r="E19" s="18" t="str">
        <f>IF(LEN(cpf_titular)=0,"Não informado",IF(AND(LEN(cpf_titular)=11,IFERROR(ISNUMBER(VALUE(cpf_titular)),FALSE),cpf_titular&lt;&gt;REPT(LEFT(cpf_titular,1),11)),"Formato conferido","Revisar formato"))</f>
        <v>Não informado</v>
      </c>
      <c r="F19" s="1"/>
      <c r="G19" s="1"/>
      <c r="H19" s="1"/>
      <c r="I19" s="1"/>
      <c r="J19" s="1"/>
    </row>
    <row r="20" ht="24" customHeight="1">
      <c r="A20" s="1"/>
      <c r="B20" s="1"/>
      <c r="C20" s="1"/>
      <c r="D20" s="1"/>
      <c r="E20" s="1"/>
      <c r="F20" s="1"/>
      <c r="G20" s="4" t="str">
        <v>Entradas mensais (R$)</v>
      </c>
      <c r="H20" s="4"/>
      <c r="I20" s="4"/>
      <c r="J20" s="4"/>
    </row>
    <row r="21" ht="38" customHeight="1">
      <c r="A21" s="1"/>
      <c r="B21" s="20" t="str">
        <v>CPF: confere apenas tamanho, conteúdo numérico e repetição. Não valida dígitos verificadores ou situação cadastral.</v>
      </c>
      <c r="C21" s="20"/>
      <c r="D21" s="20"/>
      <c r="E21" s="20"/>
      <c r="F21" s="1"/>
      <c r="G21" s="37" t="str">
        <v>Mês</v>
      </c>
      <c r="H21" s="37"/>
      <c r="I21" s="37" t="str">
        <v>Recebimentos</v>
      </c>
      <c r="J21" s="37"/>
    </row>
    <row r="22" ht="24" customHeight="1">
      <c r="A22" s="1"/>
      <c r="B22" s="20"/>
      <c r="C22" s="20"/>
      <c r="D22" s="20"/>
      <c r="E22" s="20"/>
      <c r="F22" s="1"/>
      <c r="G22" s="2" t="str">
        <v>Janeiro</v>
      </c>
      <c r="H22" s="2"/>
      <c r="I22" s="21" t="n">
        <f>SUMIFS('Entradas'!$F$10:$F$33,'Entradas'!$B$10:$B$33,"&gt;="&amp;DATE(ano_base,1,1),'Entradas'!$B$10:$B$33,"&lt;"&amp;DATE(ano_base,2,1))</f>
        <v>3500</v>
      </c>
      <c r="J22" s="21"/>
    </row>
    <row r="23" ht="24" customHeight="1">
      <c r="A23" s="1"/>
      <c r="B23" s="1"/>
      <c r="C23" s="1"/>
      <c r="D23" s="1"/>
      <c r="E23" s="1"/>
      <c r="F23" s="1"/>
      <c r="G23" s="2" t="str">
        <v>Fevereiro</v>
      </c>
      <c r="H23" s="2"/>
      <c r="I23" s="21" t="n">
        <f>SUMIFS('Entradas'!$F$10:$F$33,'Entradas'!$B$10:$B$33,"&gt;="&amp;DATE(ano_base,2,1),'Entradas'!$B$10:$B$33,"&lt;"&amp;DATE(ano_base,3,1))</f>
        <v>3500</v>
      </c>
      <c r="J23" s="21"/>
    </row>
    <row r="24" ht="24" customHeight="1">
      <c r="A24" s="1"/>
      <c r="B24" s="4" t="str">
        <v>Como utilizar</v>
      </c>
      <c r="C24" s="4"/>
      <c r="D24" s="4"/>
      <c r="E24" s="4"/>
      <c r="F24" s="1"/>
      <c r="G24" s="2" t="str">
        <v>Março</v>
      </c>
      <c r="H24" s="2"/>
      <c r="I24" s="21" t="n">
        <f>SUMIFS('Entradas'!$F$10:$F$33,'Entradas'!$B$10:$B$33,"&gt;="&amp;DATE(ano_base,3,1),'Entradas'!$B$10:$B$33,"&lt;"&amp;DATE(ano_base,4,1))</f>
        <v>4300</v>
      </c>
      <c r="J24" s="21"/>
    </row>
    <row r="25" ht="24" customHeight="1">
      <c r="A25" s="1"/>
      <c r="B25" s="1"/>
      <c r="C25" s="1"/>
      <c r="D25" s="1"/>
      <c r="E25" s="1"/>
      <c r="F25" s="1"/>
      <c r="G25" s="2" t="str">
        <v>Abril</v>
      </c>
      <c r="H25" s="2"/>
      <c r="I25" s="21" t="n">
        <f>SUMIFS('Entradas'!$F$10:$F$33,'Entradas'!$B$10:$B$33,"&gt;="&amp;DATE(ano_base,4,1),'Entradas'!$B$10:$B$33,"&lt;"&amp;DATE(ano_base,5,1))</f>
        <v>3500</v>
      </c>
      <c r="J25" s="21"/>
    </row>
    <row r="26" ht="24" customHeight="1">
      <c r="A26" s="1"/>
      <c r="B26" s="2" t="str">
        <v>1. Informe o ano-base e os dados do titular.</v>
      </c>
      <c r="C26" s="2"/>
      <c r="D26" s="2"/>
      <c r="E26" s="2"/>
      <c r="F26" s="1"/>
      <c r="G26" s="2" t="str">
        <v>Maio</v>
      </c>
      <c r="H26" s="2"/>
      <c r="I26" s="21" t="n">
        <f>SUMIFS('Entradas'!$F$10:$F$33,'Entradas'!$B$10:$B$33,"&gt;="&amp;DATE(ano_base,5,1),'Entradas'!$B$10:$B$33,"&lt;"&amp;DATE(ano_base,6,1))</f>
        <v>3500</v>
      </c>
      <c r="J26" s="21"/>
    </row>
    <row r="27" ht="24" customHeight="1">
      <c r="A27" s="1"/>
      <c r="B27" s="2" t="str">
        <v>2. Copie os saldos dos informes bancários.</v>
      </c>
      <c r="C27" s="2"/>
      <c r="D27" s="2"/>
      <c r="E27" s="2"/>
      <c r="F27" s="1"/>
      <c r="G27" s="2" t="str">
        <v>Junho</v>
      </c>
      <c r="H27" s="2"/>
      <c r="I27" s="21" t="n">
        <f>SUMIFS('Entradas'!$F$10:$F$33,'Entradas'!$B$10:$B$33,"&gt;="&amp;DATE(ano_base,6,1),'Entradas'!$B$10:$B$33,"&lt;"&amp;DATE(ano_base,7,1))</f>
        <v>4700</v>
      </c>
      <c r="J27" s="21"/>
    </row>
    <row r="28" ht="24" customHeight="1">
      <c r="A28" s="1"/>
      <c r="B28" s="2" t="str">
        <v>3. Registre cada recebimento apenas uma vez.</v>
      </c>
      <c r="C28" s="2"/>
      <c r="D28" s="2"/>
      <c r="E28" s="2"/>
      <c r="F28" s="1"/>
      <c r="G28" s="2" t="str">
        <v>Julho</v>
      </c>
      <c r="H28" s="2"/>
      <c r="I28" s="21" t="n">
        <f>SUMIFS('Entradas'!$F$10:$F$33,'Entradas'!$B$10:$B$33,"&gt;="&amp;DATE(ano_base,7,1),'Entradas'!$B$10:$B$33,"&lt;"&amp;DATE(ano_base,8,1))</f>
        <v>3500</v>
      </c>
      <c r="J28" s="21"/>
    </row>
    <row r="29" ht="24" customHeight="1">
      <c r="A29" s="1"/>
      <c r="B29" s="2" t="str">
        <v>4. Marque o documento recebido e sua referência.</v>
      </c>
      <c r="C29" s="2"/>
      <c r="D29" s="2"/>
      <c r="E29" s="2"/>
      <c r="F29" s="1"/>
      <c r="G29" s="2" t="str">
        <v>Agosto</v>
      </c>
      <c r="H29" s="2"/>
      <c r="I29" s="21" t="n">
        <f>SUMIFS('Entradas'!$F$10:$F$33,'Entradas'!$B$10:$B$33,"&gt;="&amp;DATE(ano_base,8,1),'Entradas'!$B$10:$B$33,"&lt;"&amp;DATE(ano_base,9,1))</f>
        <v>3500</v>
      </c>
      <c r="J29" s="21"/>
    </row>
    <row r="30" ht="24" customHeight="1">
      <c r="A30" s="1"/>
      <c r="B30" s="2" t="str">
        <v>5. Revise pendências e consulte os documentos.</v>
      </c>
      <c r="C30" s="2"/>
      <c r="D30" s="2"/>
      <c r="E30" s="2"/>
      <c r="F30" s="1"/>
      <c r="G30" s="2" t="str">
        <v>Setembro</v>
      </c>
      <c r="H30" s="2"/>
      <c r="I30" s="21" t="n">
        <f>SUMIFS('Entradas'!$F$10:$F$33,'Entradas'!$B$10:$B$33,"&gt;="&amp;DATE(ano_base,9,1),'Entradas'!$B$10:$B$33,"&lt;"&amp;DATE(ano_base,10,1))</f>
        <v>3500</v>
      </c>
      <c r="J30" s="21"/>
    </row>
    <row r="31" ht="24" customHeight="1">
      <c r="A31" s="1"/>
      <c r="B31" s="1"/>
      <c r="C31" s="1"/>
      <c r="D31" s="1"/>
      <c r="E31" s="1"/>
      <c r="F31" s="1"/>
      <c r="G31" s="2" t="str">
        <v>Outubro</v>
      </c>
      <c r="H31" s="2"/>
      <c r="I31" s="21" t="n">
        <f>SUMIFS('Entradas'!$F$10:$F$33,'Entradas'!$B$10:$B$33,"&gt;="&amp;DATE(ano_base,10,1),'Entradas'!$B$10:$B$33,"&lt;"&amp;DATE(ano_base,11,1))</f>
        <v>3500</v>
      </c>
      <c r="J31" s="21"/>
    </row>
    <row r="32" ht="24" customHeight="1">
      <c r="A32" s="1"/>
      <c r="B32" s="1"/>
      <c r="C32" s="1"/>
      <c r="D32" s="1"/>
      <c r="E32" s="1"/>
      <c r="F32" s="1"/>
      <c r="G32" s="2" t="str">
        <v>Novembro</v>
      </c>
      <c r="H32" s="2"/>
      <c r="I32" s="21" t="n">
        <f>SUMIFS('Entradas'!$F$10:$F$33,'Entradas'!$B$10:$B$33,"&gt;="&amp;DATE(ano_base,11,1),'Entradas'!$B$10:$B$33,"&lt;"&amp;DATE(ano_base,12,1))</f>
        <v>3500</v>
      </c>
      <c r="J32" s="21"/>
    </row>
    <row r="33" ht="24" customHeight="1">
      <c r="A33" s="1"/>
      <c r="B33" s="20" t="str">
        <v>Os dados publicados são exemplos. Guarde os comprovantes e a versão preenchida em local privado.</v>
      </c>
      <c r="C33" s="20"/>
      <c r="D33" s="20"/>
      <c r="E33" s="20"/>
      <c r="F33" s="1"/>
      <c r="G33" s="2" t="str">
        <v>Dezembro</v>
      </c>
      <c r="H33" s="2"/>
      <c r="I33" s="21" t="n">
        <f>SUMIFS('Entradas'!$F$10:$F$33,'Entradas'!$B$10:$B$33,"&gt;="&amp;DATE(ano_base,12,1),'Entradas'!$B$10:$B$33,"&lt;"&amp;DATE(ano_base,13,1))</f>
        <v>3500</v>
      </c>
      <c r="J33" s="21"/>
    </row>
    <row r="34" ht="24" customHeight="1">
      <c r="A34" s="1"/>
      <c r="B34" s="20"/>
      <c r="C34" s="20"/>
      <c r="D34" s="20"/>
      <c r="E34" s="20"/>
      <c r="F34" s="1"/>
      <c r="G34" s="25" t="str">
        <v>Total anual</v>
      </c>
      <c r="H34" s="25"/>
      <c r="I34" s="26" t="n">
        <f>SUM(I22:I33)</f>
        <v>44000</v>
      </c>
      <c r="J34" s="26"/>
    </row>
    <row r="35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24" customHeight="1">
      <c r="A37" s="1"/>
      <c r="B37" s="23" t="str">
        <v>Abrir Meu Imposto de Renda — Receita Federal</v>
      </c>
      <c r="C37" s="23"/>
      <c r="D37" s="23"/>
      <c r="E37" s="23"/>
      <c r="F37" s="1"/>
      <c r="G37" s="20" t="str">
        <v>A ferramenta organiza dados. Não calcula imposto, deduções, restituição ou obrigação de declarar.</v>
      </c>
      <c r="H37" s="20"/>
      <c r="I37" s="20"/>
      <c r="J37" s="20"/>
    </row>
    <row r="38" ht="24" customHeight="1">
      <c r="A38" s="1"/>
      <c r="B38" s="23"/>
      <c r="C38" s="23"/>
      <c r="D38" s="23"/>
      <c r="E38" s="23"/>
      <c r="F38" s="1"/>
      <c r="G38" s="20"/>
      <c r="H38" s="20"/>
      <c r="I38" s="20"/>
      <c r="J38" s="20"/>
    </row>
    <row r="39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>
    <mergeCell ref="B2:J3"/>
    <mergeCell ref="B5:C5"/>
    <mergeCell ref="D5:E5"/>
    <mergeCell ref="F5:G5"/>
    <mergeCell ref="H5:J5"/>
    <mergeCell ref="B4:J4"/>
    <mergeCell ref="B7:E7"/>
    <mergeCell ref="B21:E22"/>
    <mergeCell ref="G7:J7"/>
    <mergeCell ref="H8:J8"/>
    <mergeCell ref="H9:J9"/>
    <mergeCell ref="H10:J10"/>
    <mergeCell ref="H11:J11"/>
    <mergeCell ref="H12:J12"/>
    <mergeCell ref="H13:J13"/>
    <mergeCell ref="H14:J14"/>
    <mergeCell ref="G16:J17"/>
    <mergeCell ref="B24:E24"/>
    <mergeCell ref="B26:E26"/>
    <mergeCell ref="B27:E27"/>
    <mergeCell ref="B28:E28"/>
    <mergeCell ref="B29:E29"/>
    <mergeCell ref="B30:E30"/>
    <mergeCell ref="B33:E34"/>
    <mergeCell ref="B37:E38"/>
    <mergeCell ref="G20:J20"/>
    <mergeCell ref="G21:H21"/>
    <mergeCell ref="I21:J21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7:J38"/>
  </mergeCells>
  <dataValidations count="2">
    <dataValidation type="whole" operator="between" sqref="E8" showErrorMessage="1" errorStyle="stop" errorTitle="Valor inválido" error="Use uma opção da lista ou um valor dentro dos limites indicados." allowBlank="0">
      <formula1>2000</formula1>
      <formula2>2100</formula2>
    </dataValidation>
    <dataValidation type="date" operator="between" sqref="E11" showErrorMessage="1" errorStyle="stop" errorTitle="Valor inválido" error="Use uma opção da lista ou um valor dentro dos limites indicados." allowBlank="1">
      <formula1>DATE(1900,1,1)</formula1>
      <formula2>DATE(ano_base,12,31)</formula2>
    </dataValidation>
  </dataValidations>
  <hyperlinks>
    <hyperlink ref="B5" location="'Titular'!B2"/>
    <hyperlink ref="D5" location="'Informes'!B2"/>
    <hyperlink ref="F5" location="'Entradas'!B2"/>
    <hyperlink ref="H5" location="'Apoio'!B2"/>
    <hyperlink ref="B3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A7A0D6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3" hidden="0" customWidth="1"/>
    <col min="2" max="2" width="25" hidden="0" customWidth="1"/>
    <col min="3" max="3" width="12" hidden="0" customWidth="1"/>
    <col min="4" max="4" width="16" hidden="0" customWidth="1"/>
    <col min="5" max="5" width="15" hidden="0" customWidth="1"/>
    <col min="6" max="6" width="19" hidden="0" customWidth="1"/>
    <col min="7" max="7" width="19" hidden="0" customWidth="1"/>
    <col min="8" max="8" width="17" hidden="0" customWidth="1"/>
    <col min="9" max="9" width="26" hidden="0" customWidth="1"/>
    <col min="10" max="10" width="30" hidden="0" customWidth="1"/>
  </cols>
  <sheetData>
    <row r="1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4" customHeight="1">
      <c r="A2" s="1"/>
      <c r="B2" s="4" t="str">
        <v>JSR IR — Organizador de informações</v>
      </c>
      <c r="C2" s="4"/>
      <c r="D2" s="4"/>
      <c r="E2" s="4"/>
      <c r="F2" s="4"/>
      <c r="G2" s="4"/>
      <c r="H2" s="4"/>
      <c r="I2" s="4"/>
      <c r="J2" s="4"/>
    </row>
    <row r="3" ht="24" customHeight="1">
      <c r="A3" s="1"/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1"/>
      <c r="B4" s="13" t="str">
        <v>Modelo didático com dados fictícios. Amarelo: entrada. Cinza: cálculo.</v>
      </c>
      <c r="C4" s="13"/>
      <c r="D4" s="13"/>
      <c r="E4" s="13"/>
      <c r="F4" s="13"/>
      <c r="G4" s="13"/>
      <c r="H4" s="13"/>
      <c r="I4" s="13"/>
      <c r="J4" s="13"/>
    </row>
    <row r="5" ht="24" customHeight="1">
      <c r="A5" s="1"/>
      <c r="B5" s="12" t="str">
        <v>01  TITULAR</v>
      </c>
      <c r="C5" s="12"/>
      <c r="D5" s="8" t="str">
        <v>02  INFORMES</v>
      </c>
      <c r="E5" s="8"/>
      <c r="F5" s="12" t="str">
        <v>03  ENTRADAS</v>
      </c>
      <c r="G5" s="12"/>
      <c r="H5" s="12" t="str">
        <v>04  AJUDA E LISTAS</v>
      </c>
      <c r="I5" s="12"/>
      <c r="J5" s="12"/>
    </row>
    <row r="6" ht="24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24" customHeight="1">
      <c r="A7" s="1"/>
      <c r="B7" s="2" t="str">
        <v>Informes bancários: um registro por conta. Copie os saldos do mesmo ano-base indicado em Titular.</v>
      </c>
      <c r="C7" s="2"/>
      <c r="D7" s="2"/>
      <c r="E7" s="2"/>
      <c r="F7" s="2"/>
      <c r="G7" s="2"/>
      <c r="H7" s="2"/>
      <c r="I7" s="2"/>
      <c r="J7" s="2"/>
    </row>
    <row r="8" ht="24" customHeight="1">
      <c r="A8" s="1"/>
      <c r="B8" s="13" t="str">
        <v>Capacidade: 10 contas. Referências de documentos são ilustrativas; os arquivos não estão anexados.</v>
      </c>
      <c r="C8" s="13"/>
      <c r="D8" s="13"/>
      <c r="E8" s="13"/>
      <c r="F8" s="13"/>
      <c r="G8" s="13"/>
      <c r="H8" s="13"/>
      <c r="I8" s="13"/>
      <c r="J8" s="13"/>
    </row>
    <row r="9" ht="38" customHeight="1">
      <c r="A9" s="1"/>
      <c r="B9" s="34" t="str">
        <v>Instituição</v>
      </c>
      <c r="C9" s="34" t="str">
        <v>Agência</v>
      </c>
      <c r="D9" s="34" t="str">
        <v>Conta</v>
      </c>
      <c r="E9" s="34" t="str">
        <v>Tipo de conta</v>
      </c>
      <c r="F9" s="34" t="str">
        <f>"Saldo 31/12/"&amp;(ano_base-1)</f>
        <v>Saldo 31/12/2024</v>
      </c>
      <c r="G9" s="34" t="str">
        <f>"Saldo 31/12/"&amp;ano_base</f>
        <v>Saldo 31/12/2025</v>
      </c>
      <c r="H9" s="34" t="str">
        <v>Documento</v>
      </c>
      <c r="I9" s="34" t="str">
        <v>Referência do arquivo</v>
      </c>
      <c r="J9" s="34" t="str">
        <v>Revisão do registro</v>
      </c>
    </row>
    <row r="10" ht="24" customHeight="1">
      <c r="A10" s="1"/>
      <c r="B10" s="15" t="str">
        <v>Banco Exemplo A</v>
      </c>
      <c r="C10" s="16" t="str">
        <v>EX-01</v>
      </c>
      <c r="D10" s="16" t="str">
        <v>CONTA-EX-A</v>
      </c>
      <c r="E10" s="15" t="str">
        <v>Corrente</v>
      </c>
      <c r="F10" s="27" t="n">
        <v>5000</v>
      </c>
      <c r="G10" s="27" t="n">
        <v>8200</v>
      </c>
      <c r="H10" s="15" t="str">
        <v>Recebido</v>
      </c>
      <c r="I10" s="15" t="str">
        <v>informe-exemplo-a.pdf</v>
      </c>
      <c r="J10" s="18" t="str">
        <f>IF(COUNTA(B10:I10)=0,"",IF(OR(B10="",C10="",D10="",E10="",NOT(ISNUMBER(F10)),NOT(ISNUMBER(G10)),F10&lt;0,G10&lt;0,H10="",COUNTIF(lista_bancos,B10)=0,AND(H10&lt;&gt;"Recebido",H10&lt;&gt;"Pendente")),"Revisar dados",IF(COUNTIFS($B$10:$B$19,B10,$C$10:$C$19,C10,$D$10:$D$19,D10)&gt;1,"Revisar duplicidade",IF(H10="Pendente","Revisar documento",IF(I10="","Revisar referência","Conferido")))))</f>
        <v>Conferido</v>
      </c>
    </row>
    <row r="11" ht="24" customHeight="1">
      <c r="A11" s="1"/>
      <c r="B11" s="15" t="str">
        <v>Banco Exemplo B</v>
      </c>
      <c r="C11" s="16" t="str">
        <v>EX-02</v>
      </c>
      <c r="D11" s="16" t="str">
        <v>CONTA-EX-B</v>
      </c>
      <c r="E11" s="15" t="str">
        <v>Poupança</v>
      </c>
      <c r="F11" s="27" t="n">
        <v>3200</v>
      </c>
      <c r="G11" s="27" t="n">
        <v>4000</v>
      </c>
      <c r="H11" s="15" t="str">
        <v>Pendente</v>
      </c>
      <c r="I11" s="15"/>
      <c r="J11" s="18" t="str">
        <f>IF(COUNTA(B11:I11)=0,"",IF(OR(B11="",C11="",D11="",E11="",NOT(ISNUMBER(F11)),NOT(ISNUMBER(G11)),F11&lt;0,G11&lt;0,H11="",COUNTIF(lista_bancos,B11)=0,AND(H11&lt;&gt;"Recebido",H11&lt;&gt;"Pendente")),"Revisar dados",IF(COUNTIFS($B$10:$B$19,B11,$C$10:$C$19,C11,$D$10:$D$19,D11)&gt;1,"Revisar duplicidade",IF(H11="Pendente","Revisar documento",IF(I11="","Revisar referência","Conferido")))))</f>
        <v>Revisar documento</v>
      </c>
    </row>
    <row r="12" ht="24" customHeight="1">
      <c r="A12" s="1"/>
      <c r="B12" s="15" t="str">
        <v>Outra instituição</v>
      </c>
      <c r="C12" s="16" t="str">
        <v>EX-03</v>
      </c>
      <c r="D12" s="16" t="str">
        <v>CONTA-EX-C</v>
      </c>
      <c r="E12" s="15" t="str">
        <v>Investimento</v>
      </c>
      <c r="F12" s="27" t="n">
        <v>10000</v>
      </c>
      <c r="G12" s="27" t="n">
        <v>12000</v>
      </c>
      <c r="H12" s="15" t="str">
        <v>Recebido</v>
      </c>
      <c r="I12" s="15" t="str">
        <v>informe-exemplo-c.pdf</v>
      </c>
      <c r="J12" s="18" t="str">
        <f>IF(COUNTA(B12:I12)=0,"",IF(OR(B12="",C12="",D12="",E12="",NOT(ISNUMBER(F12)),NOT(ISNUMBER(G12)),F12&lt;0,G12&lt;0,H12="",COUNTIF(lista_bancos,B12)=0,AND(H12&lt;&gt;"Recebido",H12&lt;&gt;"Pendente")),"Revisar dados",IF(COUNTIFS($B$10:$B$19,B12,$C$10:$C$19,C12,$D$10:$D$19,D12)&gt;1,"Revisar duplicidade",IF(H12="Pendente","Revisar documento",IF(I12="","Revisar referência","Conferido")))))</f>
        <v>Conferido</v>
      </c>
    </row>
    <row r="13" ht="24" customHeight="1">
      <c r="A13" s="1"/>
      <c r="B13" s="15"/>
      <c r="C13" s="16"/>
      <c r="D13" s="16"/>
      <c r="E13" s="15"/>
      <c r="F13" s="27"/>
      <c r="G13" s="27"/>
      <c r="H13" s="15"/>
      <c r="I13" s="15"/>
      <c r="J13" s="18" t="str">
        <f>IF(COUNTA(B13:I13)=0,"",IF(OR(B13="",C13="",D13="",E13="",NOT(ISNUMBER(F13)),NOT(ISNUMBER(G13)),F13&lt;0,G13&lt;0,H13="",COUNTIF(lista_bancos,B13)=0,AND(H13&lt;&gt;"Recebido",H13&lt;&gt;"Pendente")),"Revisar dados",IF(COUNTIFS($B$10:$B$19,B13,$C$10:$C$19,C13,$D$10:$D$19,D13)&gt;1,"Revisar duplicidade",IF(H13="Pendente","Revisar documento",IF(I13="","Revisar referência","Conferido")))))</f>
      </c>
    </row>
    <row r="14" ht="24" customHeight="1">
      <c r="A14" s="1"/>
      <c r="B14" s="15"/>
      <c r="C14" s="16"/>
      <c r="D14" s="16"/>
      <c r="E14" s="15"/>
      <c r="F14" s="27"/>
      <c r="G14" s="27"/>
      <c r="H14" s="15"/>
      <c r="I14" s="15"/>
      <c r="J14" s="18" t="str">
        <f>IF(COUNTA(B14:I14)=0,"",IF(OR(B14="",C14="",D14="",E14="",NOT(ISNUMBER(F14)),NOT(ISNUMBER(G14)),F14&lt;0,G14&lt;0,H14="",COUNTIF(lista_bancos,B14)=0,AND(H14&lt;&gt;"Recebido",H14&lt;&gt;"Pendente")),"Revisar dados",IF(COUNTIFS($B$10:$B$19,B14,$C$10:$C$19,C14,$D$10:$D$19,D14)&gt;1,"Revisar duplicidade",IF(H14="Pendente","Revisar documento",IF(I14="","Revisar referência","Conferido")))))</f>
      </c>
    </row>
    <row r="15" ht="24" customHeight="1">
      <c r="A15" s="1"/>
      <c r="B15" s="15"/>
      <c r="C15" s="16"/>
      <c r="D15" s="16"/>
      <c r="E15" s="15"/>
      <c r="F15" s="27"/>
      <c r="G15" s="27"/>
      <c r="H15" s="15"/>
      <c r="I15" s="15"/>
      <c r="J15" s="18" t="str">
        <f>IF(COUNTA(B15:I15)=0,"",IF(OR(B15="",C15="",D15="",E15="",NOT(ISNUMBER(F15)),NOT(ISNUMBER(G15)),F15&lt;0,G15&lt;0,H15="",COUNTIF(lista_bancos,B15)=0,AND(H15&lt;&gt;"Recebido",H15&lt;&gt;"Pendente")),"Revisar dados",IF(COUNTIFS($B$10:$B$19,B15,$C$10:$C$19,C15,$D$10:$D$19,D15)&gt;1,"Revisar duplicidade",IF(H15="Pendente","Revisar documento",IF(I15="","Revisar referência","Conferido")))))</f>
      </c>
    </row>
    <row r="16" ht="24" customHeight="1">
      <c r="A16" s="1"/>
      <c r="B16" s="15"/>
      <c r="C16" s="16"/>
      <c r="D16" s="16"/>
      <c r="E16" s="15"/>
      <c r="F16" s="27"/>
      <c r="G16" s="27"/>
      <c r="H16" s="15"/>
      <c r="I16" s="15"/>
      <c r="J16" s="18" t="str">
        <f>IF(COUNTA(B16:I16)=0,"",IF(OR(B16="",C16="",D16="",E16="",NOT(ISNUMBER(F16)),NOT(ISNUMBER(G16)),F16&lt;0,G16&lt;0,H16="",COUNTIF(lista_bancos,B16)=0,AND(H16&lt;&gt;"Recebido",H16&lt;&gt;"Pendente")),"Revisar dados",IF(COUNTIFS($B$10:$B$19,B16,$C$10:$C$19,C16,$D$10:$D$19,D16)&gt;1,"Revisar duplicidade",IF(H16="Pendente","Revisar documento",IF(I16="","Revisar referência","Conferido")))))</f>
      </c>
    </row>
    <row r="17" ht="24" customHeight="1">
      <c r="A17" s="1"/>
      <c r="B17" s="15"/>
      <c r="C17" s="16"/>
      <c r="D17" s="16"/>
      <c r="E17" s="15"/>
      <c r="F17" s="27"/>
      <c r="G17" s="27"/>
      <c r="H17" s="15"/>
      <c r="I17" s="15"/>
      <c r="J17" s="18" t="str">
        <f>IF(COUNTA(B17:I17)=0,"",IF(OR(B17="",C17="",D17="",E17="",NOT(ISNUMBER(F17)),NOT(ISNUMBER(G17)),F17&lt;0,G17&lt;0,H17="",COUNTIF(lista_bancos,B17)=0,AND(H17&lt;&gt;"Recebido",H17&lt;&gt;"Pendente")),"Revisar dados",IF(COUNTIFS($B$10:$B$19,B17,$C$10:$C$19,C17,$D$10:$D$19,D17)&gt;1,"Revisar duplicidade",IF(H17="Pendente","Revisar documento",IF(I17="","Revisar referência","Conferido")))))</f>
      </c>
    </row>
    <row r="18" ht="24" customHeight="1">
      <c r="A18" s="1"/>
      <c r="B18" s="15"/>
      <c r="C18" s="16"/>
      <c r="D18" s="16"/>
      <c r="E18" s="15"/>
      <c r="F18" s="27"/>
      <c r="G18" s="27"/>
      <c r="H18" s="15"/>
      <c r="I18" s="15"/>
      <c r="J18" s="18" t="str">
        <f>IF(COUNTA(B18:I18)=0,"",IF(OR(B18="",C18="",D18="",E18="",NOT(ISNUMBER(F18)),NOT(ISNUMBER(G18)),F18&lt;0,G18&lt;0,H18="",COUNTIF(lista_bancos,B18)=0,AND(H18&lt;&gt;"Recebido",H18&lt;&gt;"Pendente")),"Revisar dados",IF(COUNTIFS($B$10:$B$19,B18,$C$10:$C$19,C18,$D$10:$D$19,D18)&gt;1,"Revisar duplicidade",IF(H18="Pendente","Revisar documento",IF(I18="","Revisar referência","Conferido")))))</f>
      </c>
    </row>
    <row r="19" ht="24" customHeight="1">
      <c r="A19" s="1"/>
      <c r="B19" s="15"/>
      <c r="C19" s="16"/>
      <c r="D19" s="16"/>
      <c r="E19" s="15"/>
      <c r="F19" s="27"/>
      <c r="G19" s="27"/>
      <c r="H19" s="15"/>
      <c r="I19" s="15"/>
      <c r="J19" s="18" t="str">
        <f>IF(COUNTA(B19:I19)=0,"",IF(OR(B19="",C19="",D19="",E19="",NOT(ISNUMBER(F19)),NOT(ISNUMBER(G19)),F19&lt;0,G19&lt;0,H19="",COUNTIF(lista_bancos,B19)=0,AND(H19&lt;&gt;"Recebido",H19&lt;&gt;"Pendente")),"Revisar dados",IF(COUNTIFS($B$10:$B$19,B19,$C$10:$C$19,C19,$D$10:$D$19,D19)&gt;1,"Revisar duplicidade",IF(H19="Pendente","Revisar documento",IF(I19="","Revisar referência","Conferido")))))</f>
      </c>
    </row>
    <row r="2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24" customHeight="1">
      <c r="A21" s="1"/>
      <c r="B21" s="29" t="str">
        <v>Totais dos saldos</v>
      </c>
      <c r="C21" s="29"/>
      <c r="D21" s="29"/>
      <c r="E21" s="29"/>
      <c r="F21" s="30" t="n">
        <f>SUM(F10:F19)</f>
        <v>18200</v>
      </c>
      <c r="G21" s="30" t="n">
        <f>SUM(G10:G19)</f>
        <v>24200</v>
      </c>
      <c r="H21" s="29"/>
      <c r="I21" s="29"/>
      <c r="J21" s="29"/>
    </row>
    <row r="2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24" customHeight="1">
      <c r="A24" s="1"/>
      <c r="B24" s="2" t="str">
        <v>Os saldos são posições em duas datas. Não some esses valores às entradas anuais.</v>
      </c>
      <c r="C24" s="2"/>
      <c r="D24" s="2"/>
      <c r="E24" s="2"/>
      <c r="F24" s="2"/>
      <c r="G24" s="2"/>
      <c r="H24" s="2"/>
      <c r="I24" s="2"/>
      <c r="J24" s="2"/>
    </row>
    <row r="25" ht="24" customHeight="1">
      <c r="A25" s="1"/>
      <c r="B25" s="2" t="str">
        <v>Ao mudar o ano-base, substitua os informes: os saldos não são filtrados automaticamente por ano.</v>
      </c>
      <c r="C25" s="2"/>
      <c r="D25" s="2"/>
      <c r="E25" s="2"/>
      <c r="F25" s="2"/>
      <c r="G25" s="2"/>
      <c r="H25" s="2"/>
      <c r="I25" s="2"/>
      <c r="J25" s="2"/>
    </row>
    <row r="26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>
    <mergeCell ref="B2:J3"/>
    <mergeCell ref="B5:C5"/>
    <mergeCell ref="D5:E5"/>
    <mergeCell ref="F5:G5"/>
    <mergeCell ref="H5:J5"/>
    <mergeCell ref="B4:J4"/>
    <mergeCell ref="B7:J7"/>
    <mergeCell ref="B8:J8"/>
    <mergeCell ref="B24:J24"/>
    <mergeCell ref="B25:J25"/>
  </mergeCells>
  <conditionalFormatting sqref="J10:J19">
    <cfRule type="containsText" dxfId="0" priority="1" operator="containsText" text="Revisar"/>
  </conditionalFormatting>
  <dataValidations count="4">
    <dataValidation type="decimal" operator="between" sqref="F10:G19" showErrorMessage="1" errorStyle="stop" errorTitle="Valor inválido" error="Use uma opção da lista ou um valor dentro dos limites indicados." allowBlank="1">
      <formula1>0</formula1>
      <formula2>1000000000000</formula2>
    </dataValidation>
    <dataValidation type="list" sqref="B10:B19" showErrorMessage="1" errorStyle="stop" errorTitle="Valor inválido" error="Use uma opção da lista ou um valor dentro dos limites indicados." allowBlank="1">
      <formula1>lista_bancos</formula1>
    </dataValidation>
    <dataValidation type="list" sqref="E10:E19" showErrorMessage="1" errorStyle="stop" errorTitle="Valor inválido" error="Use uma opção da lista ou um valor dentro dos limites indicados." allowBlank="1">
      <formula1>"Corrente,Poupança,Investimento,Outra"</formula1>
    </dataValidation>
    <dataValidation type="list" sqref="H10:H19" showErrorMessage="1" errorStyle="stop" errorTitle="Valor inválido" error="Use uma opção da lista ou um valor dentro dos limites indicados." allowBlank="1">
      <formula1>lista_documentos</formula1>
    </dataValidation>
  </dataValidations>
  <hyperlinks>
    <hyperlink ref="B5" location="'Titular'!B2"/>
    <hyperlink ref="D5" location="'Informes'!B2"/>
    <hyperlink ref="F5" location="'Entradas'!B2"/>
    <hyperlink ref="H5" location="'Apoio'!B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A7A0D6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3" hidden="0" customWidth="1"/>
    <col min="2" max="2" width="14" hidden="0" customWidth="1"/>
    <col min="3" max="3" width="25" hidden="0" customWidth="1"/>
    <col min="4" max="4" width="19" hidden="0" customWidth="1"/>
    <col min="5" max="5" width="31" hidden="0" customWidth="1"/>
    <col min="6" max="6" width="18" hidden="0" customWidth="1"/>
    <col min="7" max="7" width="17" hidden="0" customWidth="1"/>
    <col min="8" max="8" width="29" hidden="0" customWidth="1"/>
    <col min="9" max="9" width="10" hidden="0" customWidth="1"/>
    <col min="10" max="10" width="29" hidden="0" customWidth="1"/>
  </cols>
  <sheetData>
    <row r="1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4" customHeight="1">
      <c r="A2" s="1"/>
      <c r="B2" s="4" t="str">
        <v>JSR IR — Organizador de informações</v>
      </c>
      <c r="C2" s="4"/>
      <c r="D2" s="4"/>
      <c r="E2" s="4"/>
      <c r="F2" s="4"/>
      <c r="G2" s="4"/>
      <c r="H2" s="4"/>
      <c r="I2" s="4"/>
      <c r="J2" s="4"/>
    </row>
    <row r="3" ht="24" customHeight="1">
      <c r="A3" s="1"/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1"/>
      <c r="B4" s="13" t="str">
        <v>Modelo didático com dados fictícios. Amarelo: entrada. Cinza: cálculo.</v>
      </c>
      <c r="C4" s="13"/>
      <c r="D4" s="13"/>
      <c r="E4" s="13"/>
      <c r="F4" s="13"/>
      <c r="G4" s="13"/>
      <c r="H4" s="13"/>
      <c r="I4" s="13"/>
      <c r="J4" s="13"/>
    </row>
    <row r="5" ht="24" customHeight="1">
      <c r="A5" s="1"/>
      <c r="B5" s="12" t="str">
        <v>01  TITULAR</v>
      </c>
      <c r="C5" s="12"/>
      <c r="D5" s="12" t="str">
        <v>02  INFORMES</v>
      </c>
      <c r="E5" s="12"/>
      <c r="F5" s="8" t="str">
        <v>03  ENTRADAS</v>
      </c>
      <c r="G5" s="8"/>
      <c r="H5" s="12" t="str">
        <v>04  AJUDA E LISTAS</v>
      </c>
      <c r="I5" s="12"/>
      <c r="J5" s="12"/>
    </row>
    <row r="6" ht="24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24" customHeight="1">
      <c r="A7" s="1"/>
      <c r="B7" s="2" t="str">
        <v>Entradas: registre recebimentos individuais. Não repita totais anuais já detalhados mês a mês.</v>
      </c>
      <c r="C7" s="2"/>
      <c r="D7" s="2"/>
      <c r="E7" s="2"/>
      <c r="F7" s="2"/>
      <c r="G7" s="2"/>
      <c r="H7" s="2"/>
      <c r="I7" s="2"/>
      <c r="J7" s="2"/>
    </row>
    <row r="8" ht="24" customHeight="1">
      <c r="A8" s="1"/>
      <c r="B8" s="13" t="str">
        <v>Capacidade: 24 lançamentos. Alterar o ano-base filtra o resumo e sinaliza datas de outros anos.</v>
      </c>
      <c r="C8" s="13"/>
      <c r="D8" s="13"/>
      <c r="E8" s="13"/>
      <c r="F8" s="13"/>
      <c r="G8" s="13"/>
      <c r="H8" s="13"/>
      <c r="I8" s="13"/>
      <c r="J8" s="13"/>
    </row>
    <row r="9" ht="38" customHeight="1">
      <c r="A9" s="1"/>
      <c r="B9" s="34" t="str">
        <v>Data</v>
      </c>
      <c r="C9" s="34" t="str">
        <v>Fonte pagadora</v>
      </c>
      <c r="D9" s="34" t="str">
        <v>Categoria</v>
      </c>
      <c r="E9" s="34" t="str">
        <v>Descrição</v>
      </c>
      <c r="F9" s="34" t="str">
        <v>Valor recebido (R$)</v>
      </c>
      <c r="G9" s="34" t="str">
        <v>Documento</v>
      </c>
      <c r="H9" s="34" t="str">
        <v>Referência do arquivo</v>
      </c>
      <c r="I9" s="34" t="str">
        <v>Mês</v>
      </c>
      <c r="J9" s="34" t="str">
        <v>Revisão do registro</v>
      </c>
    </row>
    <row r="10" ht="24" customHeight="1">
      <c r="A10" s="1"/>
      <c r="B10" s="17" t="d">
        <v>2025-01-05T00:00:00.000Z</v>
      </c>
      <c r="C10" s="15" t="str">
        <v>Empresa Exemplo</v>
      </c>
      <c r="D10" s="15" t="str">
        <v>Salário</v>
      </c>
      <c r="E10" s="15" t="str">
        <v>Recebimento do mês 1</v>
      </c>
      <c r="F10" s="27" t="n">
        <v>3500</v>
      </c>
      <c r="G10" s="15" t="str">
        <v>Recebido</v>
      </c>
      <c r="H10" s="15" t="str">
        <v>holerite-exemplo-01.pdf</v>
      </c>
      <c r="I10" s="18" t="n">
        <f>IF(ISNUMBER(B10),MONTH(B10),"")</f>
        <v>1</v>
      </c>
      <c r="J10" s="18" t="str">
        <f>IF(COUNTA(B10:H10)=0,"",IF(OR(NOT(ISNUMBER(B10)),C10="",D10="",E10="",NOT(ISNUMBER(F10)),F10&lt;0,G10="",COUNTIF(lista_categorias,D10)=0,AND(G10&lt;&gt;"Recebido",G10&lt;&gt;"Pendente")),"Revisar dados",IF(OR(B10&lt;DATE(ano_base,1,1),B10&gt;=DATE(ano_base+1,1,1)),"Revisar ano-base",IF(COUNTIFS($B$10:$B$33,B10,$C$10:$C$33,C10,$D$10:$D$33,D10,$E$10:$E$33,E10,$F$10:$F$33,F10)&gt;1,"Revisar duplicidade",IF(G10="Pendente","Revisar documento",IF(H10="","Revisar referência","Conferido"))))))</f>
        <v>Conferido</v>
      </c>
    </row>
    <row r="11" ht="24" customHeight="1">
      <c r="A11" s="1"/>
      <c r="B11" s="17" t="d">
        <v>2025-02-05T00:00:00.000Z</v>
      </c>
      <c r="C11" s="15" t="str">
        <v>Empresa Exemplo</v>
      </c>
      <c r="D11" s="15" t="str">
        <v>Salário</v>
      </c>
      <c r="E11" s="15" t="str">
        <v>Recebimento do mês 2</v>
      </c>
      <c r="F11" s="27" t="n">
        <v>3500</v>
      </c>
      <c r="G11" s="15" t="str">
        <v>Recebido</v>
      </c>
      <c r="H11" s="15" t="str">
        <v>holerite-exemplo-02.pdf</v>
      </c>
      <c r="I11" s="18" t="n">
        <f>IF(ISNUMBER(B11),MONTH(B11),"")</f>
        <v>2</v>
      </c>
      <c r="J11" s="18" t="str">
        <f>IF(COUNTA(B11:H11)=0,"",IF(OR(NOT(ISNUMBER(B11)),C11="",D11="",E11="",NOT(ISNUMBER(F11)),F11&lt;0,G11="",COUNTIF(lista_categorias,D11)=0,AND(G11&lt;&gt;"Recebido",G11&lt;&gt;"Pendente")),"Revisar dados",IF(OR(B11&lt;DATE(ano_base,1,1),B11&gt;=DATE(ano_base+1,1,1)),"Revisar ano-base",IF(COUNTIFS($B$10:$B$33,B11,$C$10:$C$33,C11,$D$10:$D$33,D11,$E$10:$E$33,E11,$F$10:$F$33,F11)&gt;1,"Revisar duplicidade",IF(G11="Pendente","Revisar documento",IF(H11="","Revisar referência","Conferido"))))))</f>
        <v>Conferido</v>
      </c>
    </row>
    <row r="12" ht="24" customHeight="1">
      <c r="A12" s="1"/>
      <c r="B12" s="17" t="d">
        <v>2025-03-05T00:00:00.000Z</v>
      </c>
      <c r="C12" s="15" t="str">
        <v>Empresa Exemplo</v>
      </c>
      <c r="D12" s="15" t="str">
        <v>Salário</v>
      </c>
      <c r="E12" s="15" t="str">
        <v>Recebimento do mês 3</v>
      </c>
      <c r="F12" s="27" t="n">
        <v>3500</v>
      </c>
      <c r="G12" s="15" t="str">
        <v>Recebido</v>
      </c>
      <c r="H12" s="15" t="str">
        <v>holerite-exemplo-03.pdf</v>
      </c>
      <c r="I12" s="18" t="n">
        <f>IF(ISNUMBER(B12),MONTH(B12),"")</f>
        <v>3</v>
      </c>
      <c r="J12" s="18" t="str">
        <f>IF(COUNTA(B12:H12)=0,"",IF(OR(NOT(ISNUMBER(B12)),C12="",D12="",E12="",NOT(ISNUMBER(F12)),F12&lt;0,G12="",COUNTIF(lista_categorias,D12)=0,AND(G12&lt;&gt;"Recebido",G12&lt;&gt;"Pendente")),"Revisar dados",IF(OR(B12&lt;DATE(ano_base,1,1),B12&gt;=DATE(ano_base+1,1,1)),"Revisar ano-base",IF(COUNTIFS($B$10:$B$33,B12,$C$10:$C$33,C12,$D$10:$D$33,D12,$E$10:$E$33,E12,$F$10:$F$33,F12)&gt;1,"Revisar duplicidade",IF(G12="Pendente","Revisar documento",IF(H12="","Revisar referência","Conferido"))))))</f>
        <v>Conferido</v>
      </c>
    </row>
    <row r="13" ht="24" customHeight="1">
      <c r="A13" s="1"/>
      <c r="B13" s="17" t="d">
        <v>2025-04-05T00:00:00.000Z</v>
      </c>
      <c r="C13" s="15" t="str">
        <v>Empresa Exemplo</v>
      </c>
      <c r="D13" s="15" t="str">
        <v>Salário</v>
      </c>
      <c r="E13" s="15" t="str">
        <v>Recebimento do mês 4</v>
      </c>
      <c r="F13" s="27" t="n">
        <v>3500</v>
      </c>
      <c r="G13" s="15" t="str">
        <v>Recebido</v>
      </c>
      <c r="H13" s="15" t="str">
        <v>holerite-exemplo-04.pdf</v>
      </c>
      <c r="I13" s="18" t="n">
        <f>IF(ISNUMBER(B13),MONTH(B13),"")</f>
        <v>4</v>
      </c>
      <c r="J13" s="18" t="str">
        <f>IF(COUNTA(B13:H13)=0,"",IF(OR(NOT(ISNUMBER(B13)),C13="",D13="",E13="",NOT(ISNUMBER(F13)),F13&lt;0,G13="",COUNTIF(lista_categorias,D13)=0,AND(G13&lt;&gt;"Recebido",G13&lt;&gt;"Pendente")),"Revisar dados",IF(OR(B13&lt;DATE(ano_base,1,1),B13&gt;=DATE(ano_base+1,1,1)),"Revisar ano-base",IF(COUNTIFS($B$10:$B$33,B13,$C$10:$C$33,C13,$D$10:$D$33,D13,$E$10:$E$33,E13,$F$10:$F$33,F13)&gt;1,"Revisar duplicidade",IF(G13="Pendente","Revisar documento",IF(H13="","Revisar referência","Conferido"))))))</f>
        <v>Conferido</v>
      </c>
    </row>
    <row r="14" ht="24" customHeight="1">
      <c r="A14" s="1"/>
      <c r="B14" s="17" t="d">
        <v>2025-05-05T00:00:00.000Z</v>
      </c>
      <c r="C14" s="15" t="str">
        <v>Empresa Exemplo</v>
      </c>
      <c r="D14" s="15" t="str">
        <v>Salário</v>
      </c>
      <c r="E14" s="15" t="str">
        <v>Recebimento do mês 5</v>
      </c>
      <c r="F14" s="27" t="n">
        <v>3500</v>
      </c>
      <c r="G14" s="15" t="str">
        <v>Recebido</v>
      </c>
      <c r="H14" s="15" t="str">
        <v>holerite-exemplo-05.pdf</v>
      </c>
      <c r="I14" s="18" t="n">
        <f>IF(ISNUMBER(B14),MONTH(B14),"")</f>
        <v>5</v>
      </c>
      <c r="J14" s="18" t="str">
        <f>IF(COUNTA(B14:H14)=0,"",IF(OR(NOT(ISNUMBER(B14)),C14="",D14="",E14="",NOT(ISNUMBER(F14)),F14&lt;0,G14="",COUNTIF(lista_categorias,D14)=0,AND(G14&lt;&gt;"Recebido",G14&lt;&gt;"Pendente")),"Revisar dados",IF(OR(B14&lt;DATE(ano_base,1,1),B14&gt;=DATE(ano_base+1,1,1)),"Revisar ano-base",IF(COUNTIFS($B$10:$B$33,B14,$C$10:$C$33,C14,$D$10:$D$33,D14,$E$10:$E$33,E14,$F$10:$F$33,F14)&gt;1,"Revisar duplicidade",IF(G14="Pendente","Revisar documento",IF(H14="","Revisar referência","Conferido"))))))</f>
        <v>Conferido</v>
      </c>
    </row>
    <row r="15" ht="24" customHeight="1">
      <c r="A15" s="1"/>
      <c r="B15" s="17" t="d">
        <v>2025-06-05T00:00:00.000Z</v>
      </c>
      <c r="C15" s="15" t="str">
        <v>Empresa Exemplo</v>
      </c>
      <c r="D15" s="15" t="str">
        <v>Salário</v>
      </c>
      <c r="E15" s="15" t="str">
        <v>Recebimento do mês 6</v>
      </c>
      <c r="F15" s="27" t="n">
        <v>3500</v>
      </c>
      <c r="G15" s="15" t="str">
        <v>Recebido</v>
      </c>
      <c r="H15" s="15" t="str">
        <v>holerite-exemplo-06.pdf</v>
      </c>
      <c r="I15" s="18" t="n">
        <f>IF(ISNUMBER(B15),MONTH(B15),"")</f>
        <v>6</v>
      </c>
      <c r="J15" s="18" t="str">
        <f>IF(COUNTA(B15:H15)=0,"",IF(OR(NOT(ISNUMBER(B15)),C15="",D15="",E15="",NOT(ISNUMBER(F15)),F15&lt;0,G15="",COUNTIF(lista_categorias,D15)=0,AND(G15&lt;&gt;"Recebido",G15&lt;&gt;"Pendente")),"Revisar dados",IF(OR(B15&lt;DATE(ano_base,1,1),B15&gt;=DATE(ano_base+1,1,1)),"Revisar ano-base",IF(COUNTIFS($B$10:$B$33,B15,$C$10:$C$33,C15,$D$10:$D$33,D15,$E$10:$E$33,E15,$F$10:$F$33,F15)&gt;1,"Revisar duplicidade",IF(G15="Pendente","Revisar documento",IF(H15="","Revisar referência","Conferido"))))))</f>
        <v>Conferido</v>
      </c>
    </row>
    <row r="16" ht="24" customHeight="1">
      <c r="A16" s="1"/>
      <c r="B16" s="17" t="d">
        <v>2025-07-05T00:00:00.000Z</v>
      </c>
      <c r="C16" s="15" t="str">
        <v>Empresa Exemplo</v>
      </c>
      <c r="D16" s="15" t="str">
        <v>Salário</v>
      </c>
      <c r="E16" s="15" t="str">
        <v>Recebimento do mês 7</v>
      </c>
      <c r="F16" s="27" t="n">
        <v>3500</v>
      </c>
      <c r="G16" s="15" t="str">
        <v>Recebido</v>
      </c>
      <c r="H16" s="15" t="str">
        <v>holerite-exemplo-07.pdf</v>
      </c>
      <c r="I16" s="18" t="n">
        <f>IF(ISNUMBER(B16),MONTH(B16),"")</f>
        <v>7</v>
      </c>
      <c r="J16" s="18" t="str">
        <f>IF(COUNTA(B16:H16)=0,"",IF(OR(NOT(ISNUMBER(B16)),C16="",D16="",E16="",NOT(ISNUMBER(F16)),F16&lt;0,G16="",COUNTIF(lista_categorias,D16)=0,AND(G16&lt;&gt;"Recebido",G16&lt;&gt;"Pendente")),"Revisar dados",IF(OR(B16&lt;DATE(ano_base,1,1),B16&gt;=DATE(ano_base+1,1,1)),"Revisar ano-base",IF(COUNTIFS($B$10:$B$33,B16,$C$10:$C$33,C16,$D$10:$D$33,D16,$E$10:$E$33,E16,$F$10:$F$33,F16)&gt;1,"Revisar duplicidade",IF(G16="Pendente","Revisar documento",IF(H16="","Revisar referência","Conferido"))))))</f>
        <v>Conferido</v>
      </c>
    </row>
    <row r="17" ht="24" customHeight="1">
      <c r="A17" s="1"/>
      <c r="B17" s="17" t="d">
        <v>2025-08-05T00:00:00.000Z</v>
      </c>
      <c r="C17" s="15" t="str">
        <v>Empresa Exemplo</v>
      </c>
      <c r="D17" s="15" t="str">
        <v>Salário</v>
      </c>
      <c r="E17" s="15" t="str">
        <v>Recebimento do mês 8</v>
      </c>
      <c r="F17" s="27" t="n">
        <v>3500</v>
      </c>
      <c r="G17" s="15" t="str">
        <v>Recebido</v>
      </c>
      <c r="H17" s="15" t="str">
        <v>holerite-exemplo-08.pdf</v>
      </c>
      <c r="I17" s="18" t="n">
        <f>IF(ISNUMBER(B17),MONTH(B17),"")</f>
        <v>8</v>
      </c>
      <c r="J17" s="18" t="str">
        <f>IF(COUNTA(B17:H17)=0,"",IF(OR(NOT(ISNUMBER(B17)),C17="",D17="",E17="",NOT(ISNUMBER(F17)),F17&lt;0,G17="",COUNTIF(lista_categorias,D17)=0,AND(G17&lt;&gt;"Recebido",G17&lt;&gt;"Pendente")),"Revisar dados",IF(OR(B17&lt;DATE(ano_base,1,1),B17&gt;=DATE(ano_base+1,1,1)),"Revisar ano-base",IF(COUNTIFS($B$10:$B$33,B17,$C$10:$C$33,C17,$D$10:$D$33,D17,$E$10:$E$33,E17,$F$10:$F$33,F17)&gt;1,"Revisar duplicidade",IF(G17="Pendente","Revisar documento",IF(H17="","Revisar referência","Conferido"))))))</f>
        <v>Conferido</v>
      </c>
    </row>
    <row r="18" ht="24" customHeight="1">
      <c r="A18" s="1"/>
      <c r="B18" s="17" t="d">
        <v>2025-09-05T00:00:00.000Z</v>
      </c>
      <c r="C18" s="15" t="str">
        <v>Empresa Exemplo</v>
      </c>
      <c r="D18" s="15" t="str">
        <v>Salário</v>
      </c>
      <c r="E18" s="15" t="str">
        <v>Recebimento do mês 9</v>
      </c>
      <c r="F18" s="27" t="n">
        <v>3500</v>
      </c>
      <c r="G18" s="15" t="str">
        <v>Recebido</v>
      </c>
      <c r="H18" s="15" t="str">
        <v>holerite-exemplo-09.pdf</v>
      </c>
      <c r="I18" s="18" t="n">
        <f>IF(ISNUMBER(B18),MONTH(B18),"")</f>
        <v>9</v>
      </c>
      <c r="J18" s="18" t="str">
        <f>IF(COUNTA(B18:H18)=0,"",IF(OR(NOT(ISNUMBER(B18)),C18="",D18="",E18="",NOT(ISNUMBER(F18)),F18&lt;0,G18="",COUNTIF(lista_categorias,D18)=0,AND(G18&lt;&gt;"Recebido",G18&lt;&gt;"Pendente")),"Revisar dados",IF(OR(B18&lt;DATE(ano_base,1,1),B18&gt;=DATE(ano_base+1,1,1)),"Revisar ano-base",IF(COUNTIFS($B$10:$B$33,B18,$C$10:$C$33,C18,$D$10:$D$33,D18,$E$10:$E$33,E18,$F$10:$F$33,F18)&gt;1,"Revisar duplicidade",IF(G18="Pendente","Revisar documento",IF(H18="","Revisar referência","Conferido"))))))</f>
        <v>Conferido</v>
      </c>
    </row>
    <row r="19" ht="24" customHeight="1">
      <c r="A19" s="1"/>
      <c r="B19" s="17" t="d">
        <v>2025-10-05T00:00:00.000Z</v>
      </c>
      <c r="C19" s="15" t="str">
        <v>Empresa Exemplo</v>
      </c>
      <c r="D19" s="15" t="str">
        <v>Salário</v>
      </c>
      <c r="E19" s="15" t="str">
        <v>Recebimento do mês 10</v>
      </c>
      <c r="F19" s="27" t="n">
        <v>3500</v>
      </c>
      <c r="G19" s="15" t="str">
        <v>Recebido</v>
      </c>
      <c r="H19" s="15" t="str">
        <v>holerite-exemplo-10.pdf</v>
      </c>
      <c r="I19" s="18" t="n">
        <f>IF(ISNUMBER(B19),MONTH(B19),"")</f>
        <v>10</v>
      </c>
      <c r="J19" s="18" t="str">
        <f>IF(COUNTA(B19:H19)=0,"",IF(OR(NOT(ISNUMBER(B19)),C19="",D19="",E19="",NOT(ISNUMBER(F19)),F19&lt;0,G19="",COUNTIF(lista_categorias,D19)=0,AND(G19&lt;&gt;"Recebido",G19&lt;&gt;"Pendente")),"Revisar dados",IF(OR(B19&lt;DATE(ano_base,1,1),B19&gt;=DATE(ano_base+1,1,1)),"Revisar ano-base",IF(COUNTIFS($B$10:$B$33,B19,$C$10:$C$33,C19,$D$10:$D$33,D19,$E$10:$E$33,E19,$F$10:$F$33,F19)&gt;1,"Revisar duplicidade",IF(G19="Pendente","Revisar documento",IF(H19="","Revisar referência","Conferido"))))))</f>
        <v>Conferido</v>
      </c>
    </row>
    <row r="20" ht="24" customHeight="1">
      <c r="A20" s="1"/>
      <c r="B20" s="17" t="d">
        <v>2025-11-05T00:00:00.000Z</v>
      </c>
      <c r="C20" s="15" t="str">
        <v>Empresa Exemplo</v>
      </c>
      <c r="D20" s="15" t="str">
        <v>Salário</v>
      </c>
      <c r="E20" s="15" t="str">
        <v>Recebimento do mês 11</v>
      </c>
      <c r="F20" s="27" t="n">
        <v>3500</v>
      </c>
      <c r="G20" s="15" t="str">
        <v>Recebido</v>
      </c>
      <c r="H20" s="15" t="str">
        <v>holerite-exemplo-11.pdf</v>
      </c>
      <c r="I20" s="18" t="n">
        <f>IF(ISNUMBER(B20),MONTH(B20),"")</f>
        <v>11</v>
      </c>
      <c r="J20" s="18" t="str">
        <f>IF(COUNTA(B20:H20)=0,"",IF(OR(NOT(ISNUMBER(B20)),C20="",D20="",E20="",NOT(ISNUMBER(F20)),F20&lt;0,G20="",COUNTIF(lista_categorias,D20)=0,AND(G20&lt;&gt;"Recebido",G20&lt;&gt;"Pendente")),"Revisar dados",IF(OR(B20&lt;DATE(ano_base,1,1),B20&gt;=DATE(ano_base+1,1,1)),"Revisar ano-base",IF(COUNTIFS($B$10:$B$33,B20,$C$10:$C$33,C20,$D$10:$D$33,D20,$E$10:$E$33,E20,$F$10:$F$33,F20)&gt;1,"Revisar duplicidade",IF(G20="Pendente","Revisar documento",IF(H20="","Revisar referência","Conferido"))))))</f>
        <v>Conferido</v>
      </c>
    </row>
    <row r="21" ht="24" customHeight="1">
      <c r="A21" s="1"/>
      <c r="B21" s="17" t="d">
        <v>2025-12-05T00:00:00.000Z</v>
      </c>
      <c r="C21" s="15" t="str">
        <v>Empresa Exemplo</v>
      </c>
      <c r="D21" s="15" t="str">
        <v>Salário</v>
      </c>
      <c r="E21" s="15" t="str">
        <v>Recebimento do mês 12</v>
      </c>
      <c r="F21" s="27" t="n">
        <v>3500</v>
      </c>
      <c r="G21" s="15" t="str">
        <v>Pendente</v>
      </c>
      <c r="H21" s="15"/>
      <c r="I21" s="18" t="n">
        <f>IF(ISNUMBER(B21),MONTH(B21),"")</f>
        <v>12</v>
      </c>
      <c r="J21" s="18" t="str">
        <f>IF(COUNTA(B21:H21)=0,"",IF(OR(NOT(ISNUMBER(B21)),C21="",D21="",E21="",NOT(ISNUMBER(F21)),F21&lt;0,G21="",COUNTIF(lista_categorias,D21)=0,AND(G21&lt;&gt;"Recebido",G21&lt;&gt;"Pendente")),"Revisar dados",IF(OR(B21&lt;DATE(ano_base,1,1),B21&gt;=DATE(ano_base+1,1,1)),"Revisar ano-base",IF(COUNTIFS($B$10:$B$33,B21,$C$10:$C$33,C21,$D$10:$D$33,D21,$E$10:$E$33,E21,$F$10:$F$33,F21)&gt;1,"Revisar duplicidade",IF(G21="Pendente","Revisar documento",IF(H21="","Revisar referência","Conferido"))))))</f>
        <v>Revisar documento</v>
      </c>
    </row>
    <row r="22" ht="24" customHeight="1">
      <c r="A22" s="1"/>
      <c r="B22" s="17" t="d">
        <v>2025-03-20T00:00:00.000Z</v>
      </c>
      <c r="C22" s="15" t="str">
        <v>Cliente Exemplo</v>
      </c>
      <c r="D22" s="15" t="str">
        <v>Serviços</v>
      </c>
      <c r="E22" s="15" t="str">
        <v>Serviço pontual</v>
      </c>
      <c r="F22" s="27" t="n">
        <v>800</v>
      </c>
      <c r="G22" s="15" t="str">
        <v>Recebido</v>
      </c>
      <c r="H22" s="15" t="str">
        <v>recibo-exemplo-servico.pdf</v>
      </c>
      <c r="I22" s="18" t="n">
        <f>IF(ISNUMBER(B22),MONTH(B22),"")</f>
        <v>3</v>
      </c>
      <c r="J22" s="18" t="str">
        <f>IF(COUNTA(B22:H22)=0,"",IF(OR(NOT(ISNUMBER(B22)),C22="",D22="",E22="",NOT(ISNUMBER(F22)),F22&lt;0,G22="",COUNTIF(lista_categorias,D22)=0,AND(G22&lt;&gt;"Recebido",G22&lt;&gt;"Pendente")),"Revisar dados",IF(OR(B22&lt;DATE(ano_base,1,1),B22&gt;=DATE(ano_base+1,1,1)),"Revisar ano-base",IF(COUNTIFS($B$10:$B$33,B22,$C$10:$C$33,C22,$D$10:$D$33,D22,$E$10:$E$33,E22,$F$10:$F$33,F22)&gt;1,"Revisar duplicidade",IF(G22="Pendente","Revisar documento",IF(H22="","Revisar referência","Conferido"))))))</f>
        <v>Conferido</v>
      </c>
    </row>
    <row r="23" ht="24" customHeight="1">
      <c r="A23" s="1"/>
      <c r="B23" s="17" t="d">
        <v>2025-06-15T00:00:00.000Z</v>
      </c>
      <c r="C23" s="15" t="str">
        <v>Locatário Exemplo</v>
      </c>
      <c r="D23" s="15" t="str">
        <v>Aluguel</v>
      </c>
      <c r="E23" s="15" t="str">
        <v>Recebimento ilustrativo</v>
      </c>
      <c r="F23" s="27" t="n">
        <v>1200</v>
      </c>
      <c r="G23" s="15" t="str">
        <v>Recebido</v>
      </c>
      <c r="H23" s="15" t="str">
        <v>recibo-exemplo-aluguel.pdf</v>
      </c>
      <c r="I23" s="18" t="n">
        <f>IF(ISNUMBER(B23),MONTH(B23),"")</f>
        <v>6</v>
      </c>
      <c r="J23" s="18" t="str">
        <f>IF(COUNTA(B23:H23)=0,"",IF(OR(NOT(ISNUMBER(B23)),C23="",D23="",E23="",NOT(ISNUMBER(F23)),F23&lt;0,G23="",COUNTIF(lista_categorias,D23)=0,AND(G23&lt;&gt;"Recebido",G23&lt;&gt;"Pendente")),"Revisar dados",IF(OR(B23&lt;DATE(ano_base,1,1),B23&gt;=DATE(ano_base+1,1,1)),"Revisar ano-base",IF(COUNTIFS($B$10:$B$33,B23,$C$10:$C$33,C23,$D$10:$D$33,D23,$E$10:$E$33,E23,$F$10:$F$33,F23)&gt;1,"Revisar duplicidade",IF(G23="Pendente","Revisar documento",IF(H23="","Revisar referência","Conferido"))))))</f>
        <v>Conferido</v>
      </c>
    </row>
    <row r="24" ht="24" customHeight="1">
      <c r="A24" s="1"/>
      <c r="B24" s="17"/>
      <c r="C24" s="15"/>
      <c r="D24" s="15"/>
      <c r="E24" s="15"/>
      <c r="F24" s="27"/>
      <c r="G24" s="15"/>
      <c r="H24" s="15"/>
      <c r="I24" s="18" t="str">
        <f>IF(ISNUMBER(B24),MONTH(B24),"")</f>
      </c>
      <c r="J24" s="18" t="str">
        <f>IF(COUNTA(B24:H24)=0,"",IF(OR(NOT(ISNUMBER(B24)),C24="",D24="",E24="",NOT(ISNUMBER(F24)),F24&lt;0,G24="",COUNTIF(lista_categorias,D24)=0,AND(G24&lt;&gt;"Recebido",G24&lt;&gt;"Pendente")),"Revisar dados",IF(OR(B24&lt;DATE(ano_base,1,1),B24&gt;=DATE(ano_base+1,1,1)),"Revisar ano-base",IF(COUNTIFS($B$10:$B$33,B24,$C$10:$C$33,C24,$D$10:$D$33,D24,$E$10:$E$33,E24,$F$10:$F$33,F24)&gt;1,"Revisar duplicidade",IF(G24="Pendente","Revisar documento",IF(H24="","Revisar referência","Conferido"))))))</f>
      </c>
    </row>
    <row r="25" ht="24" customHeight="1">
      <c r="A25" s="1"/>
      <c r="B25" s="17"/>
      <c r="C25" s="15"/>
      <c r="D25" s="15"/>
      <c r="E25" s="15"/>
      <c r="F25" s="27"/>
      <c r="G25" s="15"/>
      <c r="H25" s="15"/>
      <c r="I25" s="18" t="str">
        <f>IF(ISNUMBER(B25),MONTH(B25),"")</f>
      </c>
      <c r="J25" s="18" t="str">
        <f>IF(COUNTA(B25:H25)=0,"",IF(OR(NOT(ISNUMBER(B25)),C25="",D25="",E25="",NOT(ISNUMBER(F25)),F25&lt;0,G25="",COUNTIF(lista_categorias,D25)=0,AND(G25&lt;&gt;"Recebido",G25&lt;&gt;"Pendente")),"Revisar dados",IF(OR(B25&lt;DATE(ano_base,1,1),B25&gt;=DATE(ano_base+1,1,1)),"Revisar ano-base",IF(COUNTIFS($B$10:$B$33,B25,$C$10:$C$33,C25,$D$10:$D$33,D25,$E$10:$E$33,E25,$F$10:$F$33,F25)&gt;1,"Revisar duplicidade",IF(G25="Pendente","Revisar documento",IF(H25="","Revisar referência","Conferido"))))))</f>
      </c>
    </row>
    <row r="26" ht="24" customHeight="1">
      <c r="A26" s="1"/>
      <c r="B26" s="17"/>
      <c r="C26" s="15"/>
      <c r="D26" s="15"/>
      <c r="E26" s="15"/>
      <c r="F26" s="27"/>
      <c r="G26" s="15"/>
      <c r="H26" s="15"/>
      <c r="I26" s="18" t="str">
        <f>IF(ISNUMBER(B26),MONTH(B26),"")</f>
      </c>
      <c r="J26" s="18" t="str">
        <f>IF(COUNTA(B26:H26)=0,"",IF(OR(NOT(ISNUMBER(B26)),C26="",D26="",E26="",NOT(ISNUMBER(F26)),F26&lt;0,G26="",COUNTIF(lista_categorias,D26)=0,AND(G26&lt;&gt;"Recebido",G26&lt;&gt;"Pendente")),"Revisar dados",IF(OR(B26&lt;DATE(ano_base,1,1),B26&gt;=DATE(ano_base+1,1,1)),"Revisar ano-base",IF(COUNTIFS($B$10:$B$33,B26,$C$10:$C$33,C26,$D$10:$D$33,D26,$E$10:$E$33,E26,$F$10:$F$33,F26)&gt;1,"Revisar duplicidade",IF(G26="Pendente","Revisar documento",IF(H26="","Revisar referência","Conferido"))))))</f>
      </c>
    </row>
    <row r="27" ht="24" customHeight="1">
      <c r="A27" s="1"/>
      <c r="B27" s="17"/>
      <c r="C27" s="15"/>
      <c r="D27" s="15"/>
      <c r="E27" s="15"/>
      <c r="F27" s="27"/>
      <c r="G27" s="15"/>
      <c r="H27" s="15"/>
      <c r="I27" s="18" t="str">
        <f>IF(ISNUMBER(B27),MONTH(B27),"")</f>
      </c>
      <c r="J27" s="18" t="str">
        <f>IF(COUNTA(B27:H27)=0,"",IF(OR(NOT(ISNUMBER(B27)),C27="",D27="",E27="",NOT(ISNUMBER(F27)),F27&lt;0,G27="",COUNTIF(lista_categorias,D27)=0,AND(G27&lt;&gt;"Recebido",G27&lt;&gt;"Pendente")),"Revisar dados",IF(OR(B27&lt;DATE(ano_base,1,1),B27&gt;=DATE(ano_base+1,1,1)),"Revisar ano-base",IF(COUNTIFS($B$10:$B$33,B27,$C$10:$C$33,C27,$D$10:$D$33,D27,$E$10:$E$33,E27,$F$10:$F$33,F27)&gt;1,"Revisar duplicidade",IF(G27="Pendente","Revisar documento",IF(H27="","Revisar referência","Conferido"))))))</f>
      </c>
    </row>
    <row r="28" ht="24" customHeight="1">
      <c r="A28" s="1"/>
      <c r="B28" s="17"/>
      <c r="C28" s="15"/>
      <c r="D28" s="15"/>
      <c r="E28" s="15"/>
      <c r="F28" s="27"/>
      <c r="G28" s="15"/>
      <c r="H28" s="15"/>
      <c r="I28" s="18" t="str">
        <f>IF(ISNUMBER(B28),MONTH(B28),"")</f>
      </c>
      <c r="J28" s="18" t="str">
        <f>IF(COUNTA(B28:H28)=0,"",IF(OR(NOT(ISNUMBER(B28)),C28="",D28="",E28="",NOT(ISNUMBER(F28)),F28&lt;0,G28="",COUNTIF(lista_categorias,D28)=0,AND(G28&lt;&gt;"Recebido",G28&lt;&gt;"Pendente")),"Revisar dados",IF(OR(B28&lt;DATE(ano_base,1,1),B28&gt;=DATE(ano_base+1,1,1)),"Revisar ano-base",IF(COUNTIFS($B$10:$B$33,B28,$C$10:$C$33,C28,$D$10:$D$33,D28,$E$10:$E$33,E28,$F$10:$F$33,F28)&gt;1,"Revisar duplicidade",IF(G28="Pendente","Revisar documento",IF(H28="","Revisar referência","Conferido"))))))</f>
      </c>
    </row>
    <row r="29" ht="24" customHeight="1">
      <c r="A29" s="1"/>
      <c r="B29" s="17"/>
      <c r="C29" s="15"/>
      <c r="D29" s="15"/>
      <c r="E29" s="15"/>
      <c r="F29" s="27"/>
      <c r="G29" s="15"/>
      <c r="H29" s="15"/>
      <c r="I29" s="18" t="str">
        <f>IF(ISNUMBER(B29),MONTH(B29),"")</f>
      </c>
      <c r="J29" s="18" t="str">
        <f>IF(COUNTA(B29:H29)=0,"",IF(OR(NOT(ISNUMBER(B29)),C29="",D29="",E29="",NOT(ISNUMBER(F29)),F29&lt;0,G29="",COUNTIF(lista_categorias,D29)=0,AND(G29&lt;&gt;"Recebido",G29&lt;&gt;"Pendente")),"Revisar dados",IF(OR(B29&lt;DATE(ano_base,1,1),B29&gt;=DATE(ano_base+1,1,1)),"Revisar ano-base",IF(COUNTIFS($B$10:$B$33,B29,$C$10:$C$33,C29,$D$10:$D$33,D29,$E$10:$E$33,E29,$F$10:$F$33,F29)&gt;1,"Revisar duplicidade",IF(G29="Pendente","Revisar documento",IF(H29="","Revisar referência","Conferido"))))))</f>
      </c>
    </row>
    <row r="30" ht="24" customHeight="1">
      <c r="A30" s="1"/>
      <c r="B30" s="17"/>
      <c r="C30" s="15"/>
      <c r="D30" s="15"/>
      <c r="E30" s="15"/>
      <c r="F30" s="27"/>
      <c r="G30" s="15"/>
      <c r="H30" s="15"/>
      <c r="I30" s="18" t="str">
        <f>IF(ISNUMBER(B30),MONTH(B30),"")</f>
      </c>
      <c r="J30" s="18" t="str">
        <f>IF(COUNTA(B30:H30)=0,"",IF(OR(NOT(ISNUMBER(B30)),C30="",D30="",E30="",NOT(ISNUMBER(F30)),F30&lt;0,G30="",COUNTIF(lista_categorias,D30)=0,AND(G30&lt;&gt;"Recebido",G30&lt;&gt;"Pendente")),"Revisar dados",IF(OR(B30&lt;DATE(ano_base,1,1),B30&gt;=DATE(ano_base+1,1,1)),"Revisar ano-base",IF(COUNTIFS($B$10:$B$33,B30,$C$10:$C$33,C30,$D$10:$D$33,D30,$E$10:$E$33,E30,$F$10:$F$33,F30)&gt;1,"Revisar duplicidade",IF(G30="Pendente","Revisar documento",IF(H30="","Revisar referência","Conferido"))))))</f>
      </c>
    </row>
    <row r="31" ht="24" customHeight="1">
      <c r="A31" s="1"/>
      <c r="B31" s="17"/>
      <c r="C31" s="15"/>
      <c r="D31" s="15"/>
      <c r="E31" s="15"/>
      <c r="F31" s="27"/>
      <c r="G31" s="15"/>
      <c r="H31" s="15"/>
      <c r="I31" s="18" t="str">
        <f>IF(ISNUMBER(B31),MONTH(B31),"")</f>
      </c>
      <c r="J31" s="18" t="str">
        <f>IF(COUNTA(B31:H31)=0,"",IF(OR(NOT(ISNUMBER(B31)),C31="",D31="",E31="",NOT(ISNUMBER(F31)),F31&lt;0,G31="",COUNTIF(lista_categorias,D31)=0,AND(G31&lt;&gt;"Recebido",G31&lt;&gt;"Pendente")),"Revisar dados",IF(OR(B31&lt;DATE(ano_base,1,1),B31&gt;=DATE(ano_base+1,1,1)),"Revisar ano-base",IF(COUNTIFS($B$10:$B$33,B31,$C$10:$C$33,C31,$D$10:$D$33,D31,$E$10:$E$33,E31,$F$10:$F$33,F31)&gt;1,"Revisar duplicidade",IF(G31="Pendente","Revisar documento",IF(H31="","Revisar referência","Conferido"))))))</f>
      </c>
    </row>
    <row r="32" ht="24" customHeight="1">
      <c r="A32" s="1"/>
      <c r="B32" s="17"/>
      <c r="C32" s="15"/>
      <c r="D32" s="15"/>
      <c r="E32" s="15"/>
      <c r="F32" s="27"/>
      <c r="G32" s="15"/>
      <c r="H32" s="15"/>
      <c r="I32" s="18" t="str">
        <f>IF(ISNUMBER(B32),MONTH(B32),"")</f>
      </c>
      <c r="J32" s="18" t="str">
        <f>IF(COUNTA(B32:H32)=0,"",IF(OR(NOT(ISNUMBER(B32)),C32="",D32="",E32="",NOT(ISNUMBER(F32)),F32&lt;0,G32="",COUNTIF(lista_categorias,D32)=0,AND(G32&lt;&gt;"Recebido",G32&lt;&gt;"Pendente")),"Revisar dados",IF(OR(B32&lt;DATE(ano_base,1,1),B32&gt;=DATE(ano_base+1,1,1)),"Revisar ano-base",IF(COUNTIFS($B$10:$B$33,B32,$C$10:$C$33,C32,$D$10:$D$33,D32,$E$10:$E$33,E32,$F$10:$F$33,F32)&gt;1,"Revisar duplicidade",IF(G32="Pendente","Revisar documento",IF(H32="","Revisar referência","Conferido"))))))</f>
      </c>
    </row>
    <row r="33" ht="24" customHeight="1">
      <c r="A33" s="1"/>
      <c r="B33" s="17"/>
      <c r="C33" s="15"/>
      <c r="D33" s="15"/>
      <c r="E33" s="15"/>
      <c r="F33" s="27"/>
      <c r="G33" s="15"/>
      <c r="H33" s="15"/>
      <c r="I33" s="18" t="str">
        <f>IF(ISNUMBER(B33),MONTH(B33),"")</f>
      </c>
      <c r="J33" s="18" t="str">
        <f>IF(COUNTA(B33:H33)=0,"",IF(OR(NOT(ISNUMBER(B33)),C33="",D33="",E33="",NOT(ISNUMBER(F33)),F33&lt;0,G33="",COUNTIF(lista_categorias,D33)=0,AND(G33&lt;&gt;"Recebido",G33&lt;&gt;"Pendente")),"Revisar dados",IF(OR(B33&lt;DATE(ano_base,1,1),B33&gt;=DATE(ano_base+1,1,1)),"Revisar ano-base",IF(COUNTIFS($B$10:$B$33,B33,$C$10:$C$33,C33,$D$10:$D$33,D33,$E$10:$E$33,E33,$F$10:$F$33,F33)&gt;1,"Revisar duplicidade",IF(G33="Pendente","Revisar documento",IF(H33="","Revisar referência","Conferido"))))))</f>
      </c>
    </row>
    <row r="3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24" customHeight="1">
      <c r="A35" s="1"/>
      <c r="B35" s="1"/>
      <c r="C35" s="1"/>
      <c r="D35" s="1"/>
      <c r="E35" s="29" t="str">
        <v>Total no ano-base</v>
      </c>
      <c r="F35" s="30" t="n">
        <f>'Titular'!H9</f>
        <v>44000</v>
      </c>
      <c r="G35" s="1"/>
      <c r="H35" s="1"/>
      <c r="I35" s="1"/>
      <c r="J35" s="1"/>
    </row>
    <row r="36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24" customHeight="1">
      <c r="A37" s="1"/>
      <c r="B37" s="2" t="str">
        <v>Categorias são etiquetas de organização. Não indicam automaticamente tributação, isenção ou dedutibilidade.</v>
      </c>
      <c r="C37" s="2"/>
      <c r="D37" s="2"/>
      <c r="E37" s="2"/>
      <c r="F37" s="2"/>
      <c r="G37" s="2"/>
      <c r="H37" s="2"/>
      <c r="I37" s="2"/>
      <c r="J37" s="2"/>
    </row>
    <row r="38" ht="24" customHeight="1">
      <c r="A38" s="1"/>
      <c r="B38" s="2" t="str">
        <v>Valores negativos não são aceitos neste controle de recebimentos. Corrija a origem ou documente ajustes à parte.</v>
      </c>
      <c r="C38" s="2"/>
      <c r="D38" s="2"/>
      <c r="E38" s="2"/>
      <c r="F38" s="2"/>
      <c r="G38" s="2"/>
      <c r="H38" s="2"/>
      <c r="I38" s="2"/>
      <c r="J38" s="2"/>
    </row>
    <row r="39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>
    <mergeCell ref="B2:J3"/>
    <mergeCell ref="B5:C5"/>
    <mergeCell ref="D5:E5"/>
    <mergeCell ref="F5:G5"/>
    <mergeCell ref="H5:J5"/>
    <mergeCell ref="B4:J4"/>
    <mergeCell ref="B7:J7"/>
    <mergeCell ref="B8:J8"/>
    <mergeCell ref="B37:J37"/>
    <mergeCell ref="B38:J38"/>
  </mergeCells>
  <conditionalFormatting sqref="J10:J33">
    <cfRule type="containsText" dxfId="1" priority="1" operator="containsText" text="Revisar"/>
  </conditionalFormatting>
  <dataValidations count="4">
    <dataValidation type="decimal" operator="between" sqref="F10:F33" showErrorMessage="1" errorStyle="stop" errorTitle="Valor inválido" error="Use uma opção da lista ou um valor dentro dos limites indicados." allowBlank="1">
      <formula1>0</formula1>
      <formula2>1000000000000</formula2>
    </dataValidation>
    <dataValidation type="date" operator="between" sqref="B10:B33" showErrorMessage="1" errorStyle="stop" errorTitle="Valor inválido" error="Use uma opção da lista ou um valor dentro dos limites indicados." allowBlank="1">
      <formula1>DATE(ano_base,1,1)</formula1>
      <formula2>DATE(ano_base,12,31)</formula2>
    </dataValidation>
    <dataValidation type="list" sqref="D10:D33" showErrorMessage="1" errorStyle="stop" errorTitle="Valor inválido" error="Use uma opção da lista ou um valor dentro dos limites indicados." allowBlank="1">
      <formula1>lista_categorias</formula1>
    </dataValidation>
    <dataValidation type="list" sqref="G10:G33" showErrorMessage="1" errorStyle="stop" errorTitle="Valor inválido" error="Use uma opção da lista ou um valor dentro dos limites indicados." allowBlank="1">
      <formula1>lista_documentos</formula1>
    </dataValidation>
  </dataValidations>
  <hyperlinks>
    <hyperlink ref="B5" location="'Titular'!B2"/>
    <hyperlink ref="D5" location="'Informes'!B2"/>
    <hyperlink ref="F5" location="'Entradas'!B2"/>
    <hyperlink ref="H5" location="'Apoio'!B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7A0D6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3" hidden="0" customWidth="1"/>
    <col min="2" max="2" width="28" hidden="0" customWidth="1"/>
    <col min="3" max="3" width="3" hidden="0" customWidth="1"/>
    <col min="4" max="4" width="21" hidden="0" customWidth="1"/>
    <col min="5" max="5" width="3" hidden="0" customWidth="1"/>
    <col min="6" max="6" width="22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</cols>
  <sheetData>
    <row r="1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4" customHeight="1">
      <c r="A2" s="1"/>
      <c r="B2" s="4" t="str">
        <v>JSR IR — Organizador de informações</v>
      </c>
      <c r="C2" s="4"/>
      <c r="D2" s="4"/>
      <c r="E2" s="4"/>
      <c r="F2" s="4"/>
      <c r="G2" s="4"/>
      <c r="H2" s="4"/>
      <c r="I2" s="4"/>
      <c r="J2" s="4"/>
    </row>
    <row r="3" ht="24" customHeight="1">
      <c r="A3" s="1"/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1"/>
      <c r="B4" s="13" t="str">
        <v>Modelo didático com dados fictícios. Amarelo: entrada. Cinza: cálculo.</v>
      </c>
      <c r="C4" s="13"/>
      <c r="D4" s="13"/>
      <c r="E4" s="13"/>
      <c r="F4" s="13"/>
      <c r="G4" s="13"/>
      <c r="H4" s="13"/>
      <c r="I4" s="13"/>
      <c r="J4" s="13"/>
    </row>
    <row r="5" ht="24" customHeight="1">
      <c r="A5" s="1"/>
      <c r="B5" s="12" t="str">
        <v>01  TITULAR</v>
      </c>
      <c r="C5" s="12"/>
      <c r="D5" s="12" t="str">
        <v>02  INFORMES</v>
      </c>
      <c r="E5" s="12"/>
      <c r="F5" s="12" t="str">
        <v>03  ENTRADAS</v>
      </c>
      <c r="G5" s="12"/>
      <c r="H5" s="8" t="str">
        <v>04  AJUDA E LISTAS</v>
      </c>
      <c r="I5" s="8"/>
      <c r="J5" s="8"/>
    </row>
    <row r="6" ht="24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24" customHeight="1">
      <c r="A7" s="1"/>
      <c r="B7" s="1" t="str">
        <v>Instituições (exemplos)</v>
      </c>
      <c r="C7" s="1"/>
      <c r="D7" s="1" t="str">
        <v>Documento</v>
      </c>
      <c r="E7" s="1"/>
      <c r="F7" s="1" t="str">
        <v>Categorias</v>
      </c>
      <c r="G7" s="1"/>
      <c r="H7" s="1"/>
      <c r="I7" s="1"/>
      <c r="J7" s="1"/>
    </row>
    <row r="8" ht="24" customHeight="1">
      <c r="A8" s="1"/>
      <c r="B8" s="15" t="str">
        <v>Banco Exemplo A</v>
      </c>
      <c r="C8" s="1"/>
      <c r="D8" s="1" t="str">
        <v>Recebido</v>
      </c>
      <c r="E8" s="1"/>
      <c r="F8" s="1" t="str">
        <v>Salário</v>
      </c>
      <c r="G8" s="1"/>
      <c r="H8" s="1"/>
      <c r="I8" s="1"/>
      <c r="J8" s="1"/>
    </row>
    <row r="9" ht="24" customHeight="1">
      <c r="A9" s="1"/>
      <c r="B9" s="15" t="str">
        <v>Banco Exemplo B</v>
      </c>
      <c r="C9" s="1"/>
      <c r="D9" s="1" t="str">
        <v>Pendente</v>
      </c>
      <c r="E9" s="1"/>
      <c r="F9" s="1" t="str">
        <v>Serviços</v>
      </c>
      <c r="G9" s="1"/>
      <c r="H9" s="1"/>
      <c r="I9" s="1"/>
      <c r="J9" s="1"/>
    </row>
    <row r="10" ht="24" customHeight="1">
      <c r="A10" s="1"/>
      <c r="B10" s="15" t="str">
        <v>Outra instituição</v>
      </c>
      <c r="C10" s="1"/>
      <c r="D10" s="1"/>
      <c r="E10" s="1"/>
      <c r="F10" s="1" t="str">
        <v>Aluguel</v>
      </c>
      <c r="G10" s="1"/>
      <c r="H10" s="1"/>
      <c r="I10" s="1"/>
      <c r="J10" s="1"/>
    </row>
    <row r="11" ht="24" customHeight="1">
      <c r="A11" s="1"/>
      <c r="B11" s="1"/>
      <c r="C11" s="1"/>
      <c r="D11" s="1"/>
      <c r="E11" s="1"/>
      <c r="F11" s="1" t="str">
        <v>Rendimentos</v>
      </c>
      <c r="G11" s="1"/>
      <c r="H11" s="1"/>
      <c r="I11" s="1"/>
      <c r="J11" s="1"/>
    </row>
    <row r="12" ht="24" customHeight="1">
      <c r="A12" s="1"/>
      <c r="B12" s="1"/>
      <c r="C12" s="1"/>
      <c r="D12" s="1"/>
      <c r="E12" s="1"/>
      <c r="F12" s="1" t="str">
        <v>Outros</v>
      </c>
      <c r="G12" s="1"/>
      <c r="H12" s="1"/>
      <c r="I12" s="1"/>
      <c r="J12" s="1"/>
    </row>
    <row r="13" ht="24" customHeight="1">
      <c r="A13" s="1"/>
      <c r="B13" s="1"/>
      <c r="C13" s="1"/>
      <c r="D13" s="1"/>
      <c r="E13" s="1"/>
      <c r="F13" s="1" t="str">
        <v>Transferência própria</v>
      </c>
      <c r="G13" s="1"/>
      <c r="H13" s="1"/>
      <c r="I13" s="1"/>
      <c r="J13" s="1"/>
    </row>
    <row r="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24" customHeight="1">
      <c r="A16" s="1"/>
      <c r="B16" s="4" t="str">
        <v>Guia e limites</v>
      </c>
      <c r="C16" s="4"/>
      <c r="D16" s="4"/>
      <c r="E16" s="4"/>
      <c r="F16" s="4"/>
      <c r="G16" s="4"/>
      <c r="H16" s="4"/>
      <c r="I16" s="4"/>
      <c r="J16" s="4"/>
    </row>
    <row r="17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4" customHeight="1">
      <c r="A18" s="1"/>
      <c r="B18" s="2" t="str">
        <v>Edite as células amarelas. Preserve as fórmulas cinza. Não há proteção por senha.</v>
      </c>
      <c r="C18" s="2"/>
      <c r="D18" s="2"/>
      <c r="E18" s="2"/>
      <c r="F18" s="2"/>
      <c r="G18" s="2"/>
      <c r="H18" s="2"/>
      <c r="I18" s="2"/>
      <c r="J18" s="2"/>
    </row>
    <row r="19" ht="24" customHeight="1">
      <c r="A19" s="1"/>
      <c r="B19" s="2" t="str">
        <v>Ano-base: período dos dados. Exercício exibido: ano-base + 1, apenas como referência.</v>
      </c>
      <c r="C19" s="2"/>
      <c r="D19" s="2"/>
      <c r="E19" s="2"/>
      <c r="F19" s="2"/>
      <c r="G19" s="2"/>
      <c r="H19" s="2"/>
      <c r="I19" s="2"/>
      <c r="J19" s="2"/>
    </row>
    <row r="20" ht="24" customHeight="1">
      <c r="A20" s="1"/>
      <c r="B20" s="2" t="str">
        <v>Documento recebido exige referência preenchida. As referências não abrem arquivos neste modelo.</v>
      </c>
      <c r="C20" s="2"/>
      <c r="D20" s="2"/>
      <c r="E20" s="2"/>
      <c r="F20" s="2"/>
      <c r="G20" s="2"/>
      <c r="H20" s="2"/>
      <c r="I20" s="2"/>
      <c r="J20" s="2"/>
    </row>
    <row r="21" ht="24" customHeight="1">
      <c r="A21" s="1"/>
      <c r="B21" s="2" t="str">
        <v>Conferido indica apenas preenchimento e regras do organizador, sem conferência fiscal.</v>
      </c>
      <c r="C21" s="2"/>
      <c r="D21" s="2"/>
      <c r="E21" s="2"/>
      <c r="F21" s="2"/>
      <c r="G21" s="2"/>
      <c r="H21" s="2"/>
      <c r="I21" s="2"/>
      <c r="J21" s="2"/>
    </row>
    <row r="22" ht="24" customHeight="1">
      <c r="A22" s="1"/>
      <c r="B22" s="2" t="str">
        <v>Duplicidade identifica coincidências exatas. Revise antes de excluir um registro legítimo.</v>
      </c>
      <c r="C22" s="2"/>
      <c r="D22" s="2"/>
      <c r="E22" s="2"/>
      <c r="F22" s="2"/>
      <c r="G22" s="2"/>
      <c r="H22" s="2"/>
      <c r="I22" s="2"/>
      <c r="J22" s="2"/>
    </row>
    <row r="23" ht="24" customHeight="1">
      <c r="A23" s="1"/>
      <c r="B23" s="2" t="str">
        <v>Os totais incluem registros para revisar. Revise as pendências antes de usar os números.</v>
      </c>
      <c r="C23" s="2"/>
      <c r="D23" s="2"/>
      <c r="E23" s="2"/>
      <c r="F23" s="2"/>
      <c r="G23" s="2"/>
      <c r="H23" s="2"/>
      <c r="I23" s="2"/>
      <c r="J23" s="2"/>
    </row>
    <row r="24" ht="24" customHeight="1">
      <c r="A24" s="1"/>
      <c r="B24" s="2" t="str">
        <v>Transferências próprias entram no controle de recebimentos, mas não representam nova renda.</v>
      </c>
      <c r="C24" s="2"/>
      <c r="D24" s="2"/>
      <c r="E24" s="2"/>
      <c r="F24" s="2"/>
      <c r="G24" s="2"/>
      <c r="H24" s="2"/>
      <c r="I24" s="2"/>
      <c r="J24" s="2"/>
    </row>
    <row r="25" ht="24" customHeight="1">
      <c r="A25" s="1"/>
      <c r="B25" s="2" t="str">
        <v>Troque os rótulos das instituições nos três campos de Apoio!B8:B10 conforme necessário.</v>
      </c>
      <c r="C25" s="2"/>
      <c r="D25" s="2"/>
      <c r="E25" s="2"/>
      <c r="F25" s="2"/>
      <c r="G25" s="2"/>
      <c r="H25" s="2"/>
      <c r="I25" s="2"/>
      <c r="J25" s="2"/>
    </row>
    <row r="26" ht="24" customHeight="1">
      <c r="A26" s="1"/>
      <c r="B26" s="2" t="str">
        <v>Para ampliar a capacidade, estenda fórmulas, validações e todos os intervalos dos resumos.</v>
      </c>
      <c r="C26" s="2"/>
      <c r="D26" s="2"/>
      <c r="E26" s="2"/>
      <c r="F26" s="2"/>
      <c r="G26" s="2"/>
      <c r="H26" s="2"/>
      <c r="I26" s="2"/>
      <c r="J26" s="2"/>
    </row>
    <row r="27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24" customHeight="1">
      <c r="A29" s="1"/>
      <c r="B29" s="4" t="str">
        <v>Fontes e links</v>
      </c>
      <c r="C29" s="4"/>
      <c r="D29" s="4"/>
      <c r="E29" s="4"/>
      <c r="F29" s="4"/>
      <c r="G29" s="4"/>
      <c r="H29" s="4"/>
      <c r="I29" s="4"/>
      <c r="J29" s="4"/>
    </row>
    <row r="3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24" customHeight="1">
      <c r="A31" s="1"/>
      <c r="B31" s="22" t="str">
        <v>Receita Federal — Meu Imposto de Renda</v>
      </c>
      <c r="C31" s="22"/>
      <c r="D31" s="22"/>
      <c r="E31" s="22"/>
      <c r="F31" s="22"/>
      <c r="G31" s="22"/>
      <c r="H31" s="22"/>
      <c r="I31" s="22"/>
      <c r="J31" s="22"/>
    </row>
    <row r="3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24" customHeight="1">
      <c r="A33" s="1"/>
      <c r="B33" s="2" t="str">
        <v>Escopo e requisitos: enunciado do desafio DIO fornecido pelo usuário.</v>
      </c>
      <c r="C33" s="2"/>
      <c r="D33" s="2"/>
      <c r="E33" s="2"/>
      <c r="F33" s="2"/>
      <c r="G33" s="2"/>
      <c r="H33" s="2"/>
      <c r="I33" s="2"/>
      <c r="J33" s="2"/>
    </row>
    <row r="34" ht="24" customHeight="1">
      <c r="A34" s="1"/>
      <c r="B34" s="2" t="str">
        <v>Os complementos bancos_apoio, projeto_completo e script_de_alinhamentos não foram acessados.</v>
      </c>
      <c r="C34" s="2"/>
      <c r="D34" s="2"/>
      <c r="E34" s="2"/>
      <c r="F34" s="2"/>
      <c r="G34" s="2"/>
      <c r="H34" s="2"/>
      <c r="I34" s="2"/>
      <c r="J34" s="2"/>
    </row>
    <row r="35" ht="24" customHeight="1">
      <c r="A35" s="1"/>
      <c r="B35" s="2" t="str">
        <v>Instituições, valores e documentos foram criados como exemplos fictícios para este projeto.</v>
      </c>
      <c r="C35" s="2"/>
      <c r="D35" s="2"/>
      <c r="E35" s="2"/>
      <c r="F35" s="2"/>
      <c r="G35" s="2"/>
      <c r="H35" s="2"/>
      <c r="I35" s="2"/>
      <c r="J35" s="2"/>
    </row>
    <row r="36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24" customHeight="1">
      <c r="A37" s="1"/>
      <c r="B37" s="19" t="str">
        <v>A planilha não importa dados da Receita e não prepara ou transmite declaração. Confira a documentação oficial do exercício e os comprovantes originais.</v>
      </c>
      <c r="C37" s="19"/>
      <c r="D37" s="19"/>
      <c r="E37" s="19"/>
      <c r="F37" s="19"/>
      <c r="G37" s="19"/>
      <c r="H37" s="19"/>
      <c r="I37" s="19"/>
      <c r="J37" s="19"/>
    </row>
    <row r="38" ht="24" customHeight="1">
      <c r="A38" s="1"/>
      <c r="B38" s="19"/>
      <c r="C38" s="19"/>
      <c r="D38" s="19"/>
      <c r="E38" s="19"/>
      <c r="F38" s="19"/>
      <c r="G38" s="19"/>
      <c r="H38" s="19"/>
      <c r="I38" s="19"/>
      <c r="J38" s="19"/>
    </row>
    <row r="39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>
    <mergeCell ref="B2:J3"/>
    <mergeCell ref="B5:C5"/>
    <mergeCell ref="D5:E5"/>
    <mergeCell ref="F5:G5"/>
    <mergeCell ref="H5:J5"/>
    <mergeCell ref="B4:J4"/>
    <mergeCell ref="B16:J16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9:J29"/>
    <mergeCell ref="B31:J31"/>
    <mergeCell ref="B33:J33"/>
    <mergeCell ref="B34:J34"/>
    <mergeCell ref="B35:J35"/>
    <mergeCell ref="B37:J38"/>
  </mergeCells>
  <hyperlinks>
    <hyperlink ref="B5" location="'Titular'!B2"/>
    <hyperlink ref="D5" location="'Informes'!B2"/>
    <hyperlink ref="F5" location="'Entradas'!B2"/>
    <hyperlink ref="H5" location="'Apoio'!B2"/>
    <hyperlink ref="B31" r:id="rId1"/>
  </hyperlinks>
  <pageMargins left="0.7" right="0.7" top="0.75" bottom="0.75" header="0.3" footer="0.3"/>
</worksheet>
</file>